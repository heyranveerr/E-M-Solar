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ohit\Desktop\Satvik\Morena\"/>
    </mc:Choice>
  </mc:AlternateContent>
  <xr:revisionPtr revIDLastSave="0" documentId="13_ncr:1_{49B0DF3A-5994-4547-B41F-3CA92CDED87F}" xr6:coauthVersionLast="47" xr6:coauthVersionMax="47" xr10:uidLastSave="{00000000-0000-0000-0000-000000000000}"/>
  <bookViews>
    <workbookView xWindow="-108" yWindow="-108" windowWidth="23256" windowHeight="13896" xr2:uid="{00000000-000D-0000-FFFF-FFFF00000000}"/>
  </bookViews>
  <sheets>
    <sheet name="SOW" sheetId="1" r:id="rId1"/>
  </sheets>
  <definedNames>
    <definedName name="_xlnm._FilterDatabase" localSheetId="0" hidden="1">SOW!$A$7:$K$82</definedName>
    <definedName name="_xlnm.Print_Area" localSheetId="0">SOW!$A$6:$I$80</definedName>
    <definedName name="_xlnm.Print_Titles" localSheetId="0">SOW!$7:$8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1" l="1"/>
  <c r="G35" i="1"/>
  <c r="G36" i="1"/>
  <c r="G37" i="1"/>
  <c r="G38" i="1"/>
  <c r="G39" i="1"/>
  <c r="G41" i="1"/>
  <c r="G42" i="1"/>
  <c r="G43" i="1"/>
  <c r="G44" i="1"/>
  <c r="G28" i="1"/>
  <c r="G29" i="1"/>
  <c r="G30" i="1"/>
  <c r="G31" i="1"/>
  <c r="G32" i="1"/>
  <c r="M29" i="1"/>
  <c r="M14" i="1"/>
  <c r="M13" i="1"/>
  <c r="M12" i="1" l="1"/>
  <c r="G12" i="1"/>
  <c r="G9" i="1"/>
  <c r="B3" i="1"/>
  <c r="B4" i="1"/>
  <c r="G22" i="1" s="1"/>
  <c r="G15" i="1"/>
  <c r="F44" i="1"/>
  <c r="E44" i="1"/>
  <c r="D44" i="1"/>
  <c r="G45" i="1"/>
  <c r="G49" i="1"/>
  <c r="G55" i="1"/>
  <c r="G56" i="1"/>
  <c r="G63" i="1"/>
  <c r="G68" i="1"/>
  <c r="G69" i="1"/>
  <c r="G71" i="1"/>
  <c r="G72" i="1"/>
  <c r="G73" i="1"/>
  <c r="G80" i="1"/>
  <c r="F34" i="1"/>
  <c r="D34" i="1"/>
  <c r="E34" i="1"/>
  <c r="F28" i="1"/>
  <c r="E28" i="1"/>
  <c r="D28" i="1"/>
  <c r="F76" i="1"/>
  <c r="E76" i="1"/>
  <c r="D76" i="1"/>
  <c r="F65" i="1"/>
  <c r="E65" i="1"/>
  <c r="F64" i="1"/>
  <c r="E64" i="1"/>
  <c r="F47" i="1"/>
  <c r="E47" i="1"/>
  <c r="F46" i="1"/>
  <c r="E46" i="1"/>
  <c r="F70" i="1"/>
  <c r="E70" i="1"/>
  <c r="D70" i="1"/>
  <c r="F74" i="1"/>
  <c r="E74" i="1"/>
  <c r="F43" i="1"/>
  <c r="E43" i="1"/>
  <c r="D43" i="1"/>
  <c r="F37" i="1"/>
  <c r="E37" i="1"/>
  <c r="D37" i="1"/>
  <c r="G74" i="1" l="1"/>
  <c r="G76" i="1"/>
  <c r="E23" i="1" l="1"/>
  <c r="E24" i="1" s="1"/>
  <c r="D23" i="1"/>
  <c r="E12" i="1"/>
  <c r="F25" i="1"/>
  <c r="E25" i="1"/>
  <c r="D25" i="1"/>
  <c r="F23" i="1"/>
  <c r="F24" i="1" s="1"/>
  <c r="G20" i="1"/>
  <c r="G19" i="1"/>
  <c r="G18" i="1"/>
  <c r="G14" i="1"/>
  <c r="F16" i="1"/>
  <c r="E16" i="1"/>
  <c r="E17" i="1" s="1"/>
  <c r="D16" i="1"/>
  <c r="D24" i="1" l="1"/>
  <c r="G16" i="1"/>
  <c r="F17" i="1"/>
  <c r="D12" i="1"/>
  <c r="F12" i="1"/>
  <c r="E22" i="1" l="1"/>
  <c r="F22" i="1"/>
  <c r="D22" i="1"/>
  <c r="D65" i="1" l="1"/>
  <c r="D64" i="1"/>
  <c r="D47" i="1"/>
  <c r="D17" i="1"/>
  <c r="D74" i="1"/>
  <c r="G17" i="1" l="1"/>
  <c r="A20" i="1"/>
  <c r="A22" i="1" s="1"/>
  <c r="A23" i="1" s="1"/>
  <c r="A24" i="1" l="1"/>
  <c r="A25" i="1" s="1"/>
  <c r="A29" i="1" s="1"/>
  <c r="A30" i="1" s="1"/>
  <c r="A31" i="1" s="1"/>
  <c r="A32" i="1" s="1"/>
  <c r="A34" i="1" s="1"/>
  <c r="A35" i="1" s="1"/>
  <c r="A36" i="1" s="1"/>
  <c r="A39" i="1" l="1"/>
  <c r="A42" i="1" s="1"/>
  <c r="A43" i="1" s="1"/>
  <c r="D46" i="1"/>
  <c r="A47" i="1" l="1"/>
  <c r="A48" i="1" s="1"/>
  <c r="A50" i="1" s="1"/>
  <c r="A55" i="1" l="1"/>
  <c r="A59" i="1" s="1"/>
  <c r="A60" i="1" s="1"/>
  <c r="A64" i="1" s="1"/>
  <c r="A65" i="1" s="1"/>
  <c r="A66" i="1" l="1"/>
  <c r="A67" i="1" s="1"/>
  <c r="A72" i="1" s="1"/>
  <c r="A73" i="1" s="1"/>
  <c r="A74" i="1" s="1"/>
  <c r="A75" i="1" s="1"/>
  <c r="A76" i="1" s="1"/>
  <c r="A78" i="1" s="1"/>
  <c r="A79" i="1" s="1"/>
  <c r="A80" i="1" s="1"/>
</calcChain>
</file>

<file path=xl/sharedStrings.xml><?xml version="1.0" encoding="utf-8"?>
<sst xmlns="http://schemas.openxmlformats.org/spreadsheetml/2006/main" count="419" uniqueCount="181">
  <si>
    <t>S.No.</t>
  </si>
  <si>
    <t>Item Description</t>
  </si>
  <si>
    <t>SPECIFICATION</t>
  </si>
  <si>
    <t>UOM</t>
  </si>
  <si>
    <t>MAKE</t>
  </si>
  <si>
    <t>PV Section</t>
  </si>
  <si>
    <t>Solar PV module (Wp)</t>
  </si>
  <si>
    <t>Nos.</t>
  </si>
  <si>
    <t>MC4 Connector</t>
  </si>
  <si>
    <t>MC4 Male &amp; Female Field side connector (MC4 compatible, IP67)</t>
  </si>
  <si>
    <t>Remote Monitoring system - Web based</t>
  </si>
  <si>
    <t>Communication Cable</t>
  </si>
  <si>
    <t>Mtrs</t>
  </si>
  <si>
    <t>Weather Monitoring Station (Reference Cell Radiation Sensor)</t>
  </si>
  <si>
    <t>1. Radiation sensor. (2 Nos)
2. Temperature Sensor - Ambient (1 Nos)
3. Temperature Sensor - Module (1 Nos)</t>
  </si>
  <si>
    <t>Set</t>
  </si>
  <si>
    <t xml:space="preserve"> Structures, Walkway Railing &amp; life line </t>
  </si>
  <si>
    <t>Reputed make</t>
  </si>
  <si>
    <t>Walkway</t>
  </si>
  <si>
    <t>DC side - Cables &amp; Accessories</t>
  </si>
  <si>
    <t>DC Cable (1Cx4mm² (+VE &amp; -ve))</t>
  </si>
  <si>
    <t>1 Core 4 Sqmm Cu 1.5kV , UV protected XLPO Solar Grade Cable - EN 50618
IS-1554 Part-1,Temp range:- 10Deg C to +120Deg C,Voltage range-1.5KV,excellent resistance to heat,cold,water,oil,abrasion,UV radiation, flexible. Life of cable-more then 25 year. Cable should be annealed Hight conduction copper conductor with XLPO insulation,UV protected.XLPO having working voltage- 1500V,UV resistant for outdoor installation IS/IEC 69947,For AC/DC cables Voltage drop= 1% limited</t>
  </si>
  <si>
    <t>DWC Conduit, Size of 32mm OD</t>
  </si>
  <si>
    <t>Schedule 40 UV Protected</t>
  </si>
  <si>
    <t>ASTRAL/APL APOLLO/DURALINE/SUPREME/TIRUPATI/REPUTED</t>
  </si>
  <si>
    <t>L-JOINT PVC 32mm</t>
  </si>
  <si>
    <t>T-JOINT PVC 32mm</t>
  </si>
  <si>
    <t>MISC Items</t>
  </si>
  <si>
    <t>Lot</t>
  </si>
  <si>
    <t xml:space="preserve">AC side - Cables &amp; Accessories </t>
  </si>
  <si>
    <t>AC Cable 
(For Inverter  to LT PANEL)</t>
  </si>
  <si>
    <t>CUSTOM MADE
SWITCHGEAR MAKE - ABB/SIEMENS/L&amp;T/SCHNEIDER</t>
  </si>
  <si>
    <t>1C x 2.5 Sqmm Cu Cable</t>
  </si>
  <si>
    <t>Module To module Earthing</t>
  </si>
  <si>
    <t>1C X 70 Sqmm Cu Cable</t>
  </si>
  <si>
    <t>LA Earthing</t>
  </si>
  <si>
    <t>Earthing- Cables Lugs - Lumpsum Items</t>
  </si>
  <si>
    <t>Nos</t>
  </si>
  <si>
    <t>MISCELLANEOUS</t>
  </si>
  <si>
    <t>REPUTED</t>
  </si>
  <si>
    <t>Danger Boards &amp; Safety Tags</t>
  </si>
  <si>
    <t xml:space="preserve">Building evacuation plan and direction signs, assembly points Signages </t>
  </si>
  <si>
    <t>Foam Sealent</t>
  </si>
  <si>
    <t>Silicon Based - Sealing for conduit openings</t>
  </si>
  <si>
    <t>Equipment marking. Radium Based with Strong Adhesive</t>
  </si>
  <si>
    <t>Electrical Tape</t>
  </si>
  <si>
    <t xml:space="preserve">Inverter Stand with Canopy </t>
  </si>
  <si>
    <t>Insualtion Mat</t>
  </si>
  <si>
    <t>As per IS &amp; 1.1 KV Voltage grade. Insualtion rubber mats 1 meter x 2 meter</t>
  </si>
  <si>
    <t>EARTHING &amp; LIGHTNING PROTECTION</t>
  </si>
  <si>
    <t xml:space="preserve">Earthing </t>
  </si>
  <si>
    <t>GI Strip 25X3 mm</t>
  </si>
  <si>
    <t>Lighting Rods with 5Mtr Length Level 3 with accessories(GI mast, stray wire with fixing accessories)
Insulators &amp; Accessories for earth strip - Plastic/Ceramic - 50 MM Width  - With suitable mounting arrangement (For Roof mounted &amp; LA)</t>
  </si>
  <si>
    <t>Earthing pit chamber</t>
  </si>
  <si>
    <t xml:space="preserve">MCS </t>
  </si>
  <si>
    <t>I&amp;C</t>
  </si>
  <si>
    <t xml:space="preserve">Consumables </t>
  </si>
  <si>
    <t>CEIG Approval</t>
  </si>
  <si>
    <t>Installation &amp; testing, pre commissioning of all equipments including cabling, termination, mounting, road cutting,hume pipe installation,housekeeping, white wash of foundation, MS fabrication, suppots, all required fitting, loading, unloading shifting of material, Tools, tackles, equipment, machinery-Hydra, forklift, ladder, water, electricity for construction, paint work,RCC cutting, material reconciliation, testing of equipments, support work for CEIG/Govt. approvals.</t>
  </si>
  <si>
    <t>Safety</t>
  </si>
  <si>
    <t>Labor compliance</t>
  </si>
  <si>
    <t>All required labor compliances like-PF,ESI,WC policy, EAR policy,GPA etc</t>
  </si>
  <si>
    <t>Supply Misc</t>
  </si>
  <si>
    <t>All Misc Items - C class Items not included in BOQ, support structure, fittings</t>
  </si>
  <si>
    <t xml:space="preserve">Electrical &amp; MMS </t>
  </si>
  <si>
    <t>KWp</t>
  </si>
  <si>
    <t xml:space="preserve">Fire Fighting System </t>
  </si>
  <si>
    <t>Chemical Earthing Pit As Per IS 3043, - ARRAY YARD EARTHING &amp;
A) 17.2 MM Dia, 3 MTS Height Cu Coated(250 Microns) Steel Rod, T Joints For Earth Strip Connection
B) Chemical Earthing Backfill Compound, 22.5 Kg
C) Pre Cast RCC Chamber
Adhension/Bending/Environment test/UL Approved/Cu purity test, Micron Coating for Earth Electrode
Ph Value, Leaching test, Resistivity test &amp; Strength test for backfill chemical</t>
  </si>
  <si>
    <t>MMS</t>
  </si>
  <si>
    <t xml:space="preserve">FRP Walkway 300 width x 25mm </t>
  </si>
  <si>
    <t>DWC Conduit, Size of 40mm OD</t>
  </si>
  <si>
    <t>L-JOINT PVC 40mm</t>
  </si>
  <si>
    <t>T-JOINT PVC 40mm</t>
  </si>
  <si>
    <t>AC Cable 
( LT PANEL to Existing panel )</t>
  </si>
  <si>
    <t>Heat shrinkable sleeve</t>
  </si>
  <si>
    <t>Inverter Earthing &amp; LT Panel</t>
  </si>
  <si>
    <t xml:space="preserve">SS Hardware M4 x 15mm for module earthing </t>
  </si>
  <si>
    <t>M6 x 30 with nut + double washer</t>
  </si>
  <si>
    <t>M8 x 30 with nut + double washer</t>
  </si>
  <si>
    <t>Earthing Hardware</t>
  </si>
  <si>
    <t xml:space="preserve">Nos </t>
  </si>
  <si>
    <t>SAND BUCKET STAND WITH 3 BUCKET ARRANEGEMNT &amp; COMPLETE ACCESSORIES - 24 SWG - IS 2546</t>
  </si>
  <si>
    <t>RED, YELLOW, BLUE, BLACK, GREEN ( Each 5)</t>
  </si>
  <si>
    <t xml:space="preserve">As per approved drawing </t>
  </si>
  <si>
    <t xml:space="preserve">LT Panel foundation </t>
  </si>
  <si>
    <t xml:space="preserve">- LT panel foundation as per approved drawing </t>
  </si>
  <si>
    <t>No</t>
  </si>
  <si>
    <t xml:space="preserve">Safety life line </t>
  </si>
  <si>
    <t xml:space="preserve">Red insulator with hardware </t>
  </si>
  <si>
    <t>GI Strip 25X6 mm</t>
  </si>
  <si>
    <t xml:space="preserve">Client </t>
  </si>
  <si>
    <t>- Earthing pit chamber 350mm x 350mm</t>
  </si>
  <si>
    <t>Extension Panel</t>
  </si>
  <si>
    <t>Process P</t>
  </si>
  <si>
    <t>FMG-1</t>
  </si>
  <si>
    <t>Storage</t>
  </si>
  <si>
    <t>PV Module 405Wp</t>
  </si>
  <si>
    <t>PV Module 445Wp</t>
  </si>
  <si>
    <t>PV Module 585Wp</t>
  </si>
  <si>
    <t xml:space="preserve">Total </t>
  </si>
  <si>
    <t>String Inverter</t>
  </si>
  <si>
    <t>LT String inverter 50KW</t>
  </si>
  <si>
    <t xml:space="preserve">Web based Datalogger for minitoring </t>
  </si>
  <si>
    <t>RS485 Armourd shielded cable for communication inverter to inverter</t>
  </si>
  <si>
    <t>3.5C X 300 sq.mm AL. A. XLPE Cable 1.1kV (For Inverter  to LT PANEL)
Cable shall be stranded AL. AR. conductor  with XLPE insulation, UV protected , 1.1KV, temp range -10ºC to +80ºC   overall XLPE insulation for outdoors, FRLS TYPE</t>
  </si>
  <si>
    <t>3.5C X 50 sq.mm AL. A. XLPE Cable 1.1kV (For Inverter  to LT PANEL)
Cable shall be stranded AL. AR. conductor  with XLPE insulation, UV protected , 1.1KV, temp range -10ºC to +80ºC   overall XLPE insulation for outdoors, FRLS TYPE</t>
  </si>
  <si>
    <t xml:space="preserve">for all cables </t>
  </si>
  <si>
    <t>1C 16 sq.mm cu flexible 
 (Cable for earthing - Inverter Earthing)</t>
  </si>
  <si>
    <t>Qty</t>
  </si>
  <si>
    <t>Walway clamps</t>
  </si>
  <si>
    <t>LT PANEL (8in-1out)</t>
  </si>
  <si>
    <t>Zero Export devise</t>
  </si>
  <si>
    <t>Scope of Work</t>
  </si>
  <si>
    <t>Supply</t>
  </si>
  <si>
    <t>Service</t>
  </si>
  <si>
    <t>Saatvik</t>
  </si>
  <si>
    <t>Contractor</t>
  </si>
  <si>
    <t>Elmex</t>
  </si>
  <si>
    <t>Suryalogix/Power AMR</t>
  </si>
  <si>
    <t>D-Link/Polycab/Beldan</t>
  </si>
  <si>
    <t>Supreme/Titupati/Reputed</t>
  </si>
  <si>
    <t>Webdyn/Trinity/Suryalogix</t>
  </si>
  <si>
    <t>Standing seam type  Al anodized H clamp with hardware &amp; other accessories</t>
  </si>
  <si>
    <t>RM</t>
  </si>
  <si>
    <t>Mounting clamps &amp; accessries</t>
  </si>
  <si>
    <t>Stainless steel type life line with Standing seam clamp type structre support  as per approved drawing</t>
  </si>
  <si>
    <t>KEI/HAVELLS/APAR/UNIVERSAL/Sichem</t>
  </si>
  <si>
    <t>SUPREME/TIRUPATI/REPUTED</t>
  </si>
  <si>
    <t>GI Saddle, Silicon &amp; Accessories</t>
  </si>
  <si>
    <t>POLYCAB/KEI/HAVELLS/APAR/UNIVERSAL/Gems</t>
  </si>
  <si>
    <t>For All types of cable required,</t>
  </si>
  <si>
    <t>Double compression Cable Gland &amp; Accessries</t>
  </si>
  <si>
    <t>LUGs (Cu, Al, Bi-metalic)</t>
  </si>
  <si>
    <t>As per requirement</t>
  </si>
  <si>
    <t>LT PANEL (6 in-1out)</t>
  </si>
  <si>
    <t xml:space="preserve">As per specfification
415V LT Panel : 9 in1-out LT Panel indoor compartment type 
- 100A 4P MCCB  nos input  and 800A MCCB output 
- MFM meter with RS485 commiunication 
</t>
  </si>
  <si>
    <t xml:space="preserve">As per specfification
415V LT Panel : 6 in1-out LT Panel indoor compartment type 
- 100A 4P MCCB  nos input  and 800A MCCB output 
- MFM meter with RS485 commiunication 
</t>
  </si>
  <si>
    <t xml:space="preserve">Extention Panel with 800A MCCB
</t>
  </si>
  <si>
    <t>Reputed</t>
  </si>
  <si>
    <t>UV Protected Sizes-As per requirement</t>
  </si>
  <si>
    <t>Cable Ties &amp; MC4 Clips</t>
  </si>
  <si>
    <t>Cable Tray- DC Side</t>
  </si>
  <si>
    <t>Pre GI Perforated with cover &amp; Fixing accessories. Support angles &amp; stands</t>
  </si>
  <si>
    <t>Cable Tray-AC Side</t>
  </si>
  <si>
    <t>Pre GILadder type, &amp; Fixing accessories. Support angles &amp; stands</t>
  </si>
  <si>
    <t xml:space="preserve">DCP ABC/POWDER Type - 6 Kg - IS 2171 &amp; IS 10658 Marked </t>
  </si>
  <si>
    <t>CO2 Type - 6 Kg - IS 2171 &amp; IS 10658 Marked</t>
  </si>
  <si>
    <t>Ferrules &amp; Cable tags</t>
  </si>
  <si>
    <t xml:space="preserve">Printed tube type
Appropriate Cable Tags ( At all Power &amp; AUX cables Terminal Points Metallic Tags to be provided ) </t>
  </si>
  <si>
    <t>STICKER &amp; Marking</t>
  </si>
  <si>
    <t>SABOO/VNT/true Power</t>
  </si>
  <si>
    <t>Size-40MM which to joint with roof sheet with fixing clamps</t>
  </si>
  <si>
    <t>Lighting Arrestor as per IEC -68-2-52 Part 2,.ESE Type NFC17-102(2011) with Strike counters</t>
  </si>
  <si>
    <t>Module cleaning System</t>
  </si>
  <si>
    <t>Manual Module cleaning system with UPVC piping network and 3 Nos Booster pump &amp; Brass nozzles. Hose Pipe-100 Mtr for each bulding, Wiper
Incl. Electrical connection &amp; Canopy</t>
  </si>
  <si>
    <t>All type of consumables required as per site condition</t>
  </si>
  <si>
    <t>Reputes</t>
  </si>
  <si>
    <t xml:space="preserve">Net Metering </t>
  </si>
  <si>
    <t xml:space="preserve">KW </t>
  </si>
  <si>
    <t>All Statutory approvals &amp; Metering cubical along with Meter, CT, PT as per discomm Standards</t>
  </si>
  <si>
    <t>All required PPEs/First Ad Kit  ISI marked or as per client's requirement, Comply with Client's EHS policy. And Third party inspection of machinery &amp; equipments if required</t>
  </si>
  <si>
    <t>Handrail</t>
  </si>
  <si>
    <t>FRP 800 MM height with mounting arrangement</t>
  </si>
  <si>
    <t>SCOPE OF WORK</t>
  </si>
  <si>
    <t>Saatvik Agro products Morena, MP</t>
  </si>
  <si>
    <t>Project Capacity AC-KW</t>
  </si>
  <si>
    <t>Project Capacity DC KWp</t>
  </si>
  <si>
    <t>Note :</t>
  </si>
  <si>
    <t>Above mentioned quantities are on estimate basis, these may vary +/- 10%</t>
  </si>
  <si>
    <t>MS Painted Step 2 Mtr each side</t>
  </si>
  <si>
    <t>With handle for Roof monitoring crossing</t>
  </si>
  <si>
    <t>MS Painted sky light protection</t>
  </si>
  <si>
    <t>with Wire mess and fixing accessories</t>
  </si>
  <si>
    <t>Statutory fees shall be reimburse on submission of actual challan/bill</t>
  </si>
  <si>
    <t>All Material shall be dispatch on the issue of the MDCC By client</t>
  </si>
  <si>
    <t>Loading &amp; Unloading , shifting of free Issue items shall be in the scope of the contractor</t>
  </si>
  <si>
    <t>Arrangement of Electricty, water shall be in the scope of the contractor</t>
  </si>
  <si>
    <t>Any other material requirement for the successful commissiong of the plant which is not mentioned in the above BOQ will be in the scope of the contractor</t>
  </si>
  <si>
    <t>Completion Time- 60 Days from the date of PO/Advance</t>
  </si>
  <si>
    <t xml:space="preserve">Rate </t>
  </si>
  <si>
    <t xml:space="preserve">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</si>
</sst>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Calibri"/>
      <family val="2"/>
      <scheme val="minor"/>
    </font>
    <font>
      <b/>
      <sz val="12"/>
      <name val="Calibri"/>
      <family val="2"/>
      <scheme val="minor"/>
    </font>
    <font>
      <sz val="12"/>
      <name val="Calibri"/>
      <family val="2"/>
      <scheme val="minor"/>
    </font>
    <font>
      <sz val="11"/>
      <name val="Calibri"/>
      <family val="2"/>
      <scheme val="minor"/>
    </font>
    <font>
      <b/>
      <sz val="14"/>
      <name val="Calibri"/>
      <family val="2"/>
      <scheme val="minor"/>
    </font>
    <font>
      <sz val="12"/>
      <name val="Roboto"/>
    </font>
    <font>
      <sz val="11"/>
      <color theme="1"/>
      <name val="Calibri"/>
      <family val="2"/>
      <scheme val="minor"/>
    </font>
    <font>
      <b/>
      <sz val="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6" fillId="0" borderId="0" applyFont="0" applyFill="0" applyBorder="0" applyAlignment="0" applyProtection="0"/>
  </cellStyleXfs>
  <cellXfs count="70">
    <xf numFmtId="0" fontId="0" fillId="0" borderId="0" xfId="0"/>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0" xfId="0" applyFont="1" applyAlignment="1">
      <alignment vertical="center"/>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5"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5" fillId="0" borderId="1" xfId="0" applyFont="1" applyBorder="1" applyAlignment="1">
      <alignment vertical="center" wrapText="1"/>
    </xf>
    <xf numFmtId="43" fontId="3" fillId="0" borderId="0" xfId="1" applyFont="1" applyAlignment="1">
      <alignment vertical="center"/>
    </xf>
    <xf numFmtId="0" fontId="2" fillId="2" borderId="1" xfId="0" applyFont="1" applyFill="1" applyBorder="1" applyAlignment="1">
      <alignment vertical="center" wrapText="1"/>
    </xf>
    <xf numFmtId="43" fontId="3" fillId="0" borderId="0" xfId="0" applyNumberFormat="1" applyFont="1" applyAlignment="1">
      <alignment vertical="center"/>
    </xf>
    <xf numFmtId="1" fontId="2" fillId="0" borderId="1" xfId="0" applyNumberFormat="1" applyFont="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1" fillId="2" borderId="1" xfId="0" applyFont="1" applyFill="1" applyBorder="1" applyAlignment="1">
      <alignment vertical="center" wrapText="1"/>
    </xf>
    <xf numFmtId="0" fontId="2" fillId="0" borderId="1" xfId="0" quotePrefix="1" applyFont="1" applyBorder="1" applyAlignment="1">
      <alignment vertical="center" wrapText="1"/>
    </xf>
    <xf numFmtId="43" fontId="2" fillId="0" borderId="1" xfId="1" applyFont="1" applyFill="1" applyBorder="1" applyAlignment="1">
      <alignment horizontal="center" vertical="center"/>
    </xf>
    <xf numFmtId="0" fontId="1" fillId="0" borderId="1" xfId="0" applyFont="1" applyBorder="1" applyAlignment="1">
      <alignment vertical="center"/>
    </xf>
    <xf numFmtId="43" fontId="3" fillId="2" borderId="1" xfId="1" applyFont="1" applyFill="1" applyBorder="1" applyAlignment="1">
      <alignment vertical="center"/>
    </xf>
    <xf numFmtId="1" fontId="2" fillId="2" borderId="1" xfId="0" applyNumberFormat="1" applyFont="1" applyFill="1" applyBorder="1" applyAlignment="1">
      <alignment horizontal="center" vertical="center"/>
    </xf>
    <xf numFmtId="43" fontId="2" fillId="2" borderId="1" xfId="1" applyFont="1" applyFill="1" applyBorder="1" applyAlignment="1">
      <alignment horizontal="center" vertical="center"/>
    </xf>
    <xf numFmtId="0" fontId="7" fillId="0" borderId="0" xfId="0" applyFont="1" applyAlignment="1">
      <alignment vertical="center"/>
    </xf>
    <xf numFmtId="0" fontId="3" fillId="0" borderId="0" xfId="0" applyFont="1" applyAlignment="1">
      <alignment horizontal="center" vertical="center"/>
    </xf>
    <xf numFmtId="43" fontId="4" fillId="2" borderId="2" xfId="1" applyFont="1" applyFill="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43" fontId="4" fillId="0" borderId="0" xfId="1" applyFont="1" applyBorder="1" applyAlignment="1">
      <alignment horizontal="right" vertical="center" wrapText="1"/>
    </xf>
    <xf numFmtId="0" fontId="1" fillId="0" borderId="0" xfId="0" applyFont="1" applyAlignment="1">
      <alignment vertical="center"/>
    </xf>
    <xf numFmtId="0" fontId="2" fillId="0" borderId="0" xfId="0" applyFont="1" applyAlignment="1">
      <alignment vertical="center"/>
    </xf>
    <xf numFmtId="0" fontId="4" fillId="2" borderId="3" xfId="0" applyFont="1" applyFill="1" applyBorder="1" applyAlignment="1">
      <alignment vertical="center" wrapText="1"/>
    </xf>
    <xf numFmtId="1" fontId="4" fillId="2" borderId="3" xfId="0" applyNumberFormat="1" applyFont="1" applyFill="1" applyBorder="1" applyAlignment="1">
      <alignment horizontal="center" vertical="center"/>
    </xf>
    <xf numFmtId="1" fontId="4" fillId="3" borderId="3" xfId="0" applyNumberFormat="1" applyFont="1" applyFill="1" applyBorder="1" applyAlignment="1">
      <alignment horizontal="center" vertical="center"/>
    </xf>
    <xf numFmtId="1" fontId="1" fillId="3" borderId="3" xfId="0" applyNumberFormat="1" applyFont="1" applyFill="1" applyBorder="1" applyAlignment="1">
      <alignment horizontal="center" vertical="center"/>
    </xf>
    <xf numFmtId="0" fontId="4" fillId="2" borderId="3" xfId="0" applyFont="1" applyFill="1" applyBorder="1" applyAlignment="1">
      <alignment horizontal="center" vertical="center"/>
    </xf>
    <xf numFmtId="43" fontId="4" fillId="2" borderId="4" xfId="1" applyFont="1" applyFill="1" applyBorder="1" applyAlignment="1">
      <alignment horizontal="left" vertical="center"/>
    </xf>
    <xf numFmtId="43" fontId="4" fillId="2" borderId="4" xfId="1" applyFont="1" applyFill="1" applyBorder="1" applyAlignment="1">
      <alignment horizontal="left" vertical="center" wrapText="1"/>
    </xf>
    <xf numFmtId="0" fontId="1" fillId="0" borderId="5" xfId="0" applyFont="1" applyBorder="1" applyAlignment="1">
      <alignment vertical="center"/>
    </xf>
    <xf numFmtId="0" fontId="4" fillId="0" borderId="6" xfId="0" applyFont="1" applyBorder="1" applyAlignment="1">
      <alignment horizontal="right" vertical="center" wrapText="1"/>
    </xf>
    <xf numFmtId="0" fontId="4" fillId="0" borderId="6" xfId="0" applyFont="1" applyBorder="1" applyAlignment="1">
      <alignment vertical="center" wrapText="1"/>
    </xf>
    <xf numFmtId="0" fontId="4" fillId="0" borderId="6" xfId="0" applyFont="1" applyBorder="1" applyAlignment="1">
      <alignmen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1" fillId="0" borderId="8" xfId="0" applyFont="1" applyBorder="1" applyAlignment="1">
      <alignment vertical="center"/>
    </xf>
    <xf numFmtId="0" fontId="4" fillId="0" borderId="9" xfId="0" applyFont="1" applyBorder="1" applyAlignment="1">
      <alignment horizontal="center" vertical="center"/>
    </xf>
    <xf numFmtId="0" fontId="4" fillId="4" borderId="10" xfId="0" applyFont="1" applyFill="1" applyBorder="1" applyAlignment="1">
      <alignment vertical="center"/>
    </xf>
    <xf numFmtId="0" fontId="3" fillId="4" borderId="11" xfId="0" applyFont="1" applyFill="1" applyBorder="1" applyAlignment="1">
      <alignment vertical="center"/>
    </xf>
    <xf numFmtId="0" fontId="3" fillId="4" borderId="11" xfId="0" quotePrefix="1" applyFont="1" applyFill="1" applyBorder="1" applyAlignment="1">
      <alignment vertical="center" wrapText="1"/>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7" fillId="0" borderId="0" xfId="0" applyFont="1" applyAlignment="1">
      <alignment horizontal="center" vertical="center"/>
    </xf>
    <xf numFmtId="0" fontId="3" fillId="0" borderId="0" xfId="0" applyFont="1" applyAlignment="1">
      <alignment horizontal="left" vertical="center" wrapText="1"/>
    </xf>
    <xf numFmtId="0" fontId="4" fillId="0" borderId="6" xfId="0" applyFont="1" applyBorder="1" applyAlignment="1">
      <alignment horizontal="left" vertical="center" wrapText="1"/>
    </xf>
    <xf numFmtId="0" fontId="4" fillId="0" borderId="0" xfId="0" applyFont="1" applyAlignment="1">
      <alignment horizontal="left" vertical="center" wrapText="1"/>
    </xf>
    <xf numFmtId="0" fontId="3" fillId="4" borderId="11" xfId="0" applyFont="1" applyFill="1" applyBorder="1" applyAlignment="1">
      <alignment horizontal="left" vertical="center" wrapText="1"/>
    </xf>
    <xf numFmtId="0" fontId="4" fillId="2" borderId="3" xfId="0" applyFont="1" applyFill="1" applyBorder="1" applyAlignment="1">
      <alignment horizontal="left" vertical="center" wrapText="1"/>
    </xf>
    <xf numFmtId="43" fontId="3" fillId="0" borderId="0" xfId="1" applyFont="1" applyAlignment="1">
      <alignment horizontal="left" vertical="center" wrapText="1"/>
    </xf>
    <xf numFmtId="43" fontId="3" fillId="0" borderId="0" xfId="0" applyNumberFormat="1"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2"/>
  <sheetViews>
    <sheetView tabSelected="1" zoomScale="79" zoomScaleNormal="80" zoomScaleSheetLayoutView="80" workbookViewId="0">
      <pane xSplit="2" ySplit="7" topLeftCell="C8" activePane="bottomRight" state="frozen"/>
      <selection pane="topRight" activeCell="C1" sqref="C1"/>
      <selection pane="bottomLeft" activeCell="A9" sqref="A9"/>
      <selection pane="bottomRight" activeCell="F12" sqref="F12"/>
    </sheetView>
  </sheetViews>
  <sheetFormatPr defaultColWidth="8.88671875" defaultRowHeight="14.4" x14ac:dyDescent="0.3"/>
  <cols>
    <col min="1" max="1" width="24.33203125" style="3" customWidth="1"/>
    <col min="2" max="2" width="38.109375" style="3" customWidth="1"/>
    <col min="3" max="3" width="47.33203125" style="6" customWidth="1"/>
    <col min="4" max="4" width="11.21875" style="3" bestFit="1" customWidth="1"/>
    <col min="5" max="5" width="10.6640625" style="3" bestFit="1" customWidth="1"/>
    <col min="6" max="7" width="11.88671875" style="3" customWidth="1"/>
    <col min="8" max="8" width="15.21875" style="3" customWidth="1"/>
    <col min="9" max="9" width="26.44140625" style="63" customWidth="1"/>
    <col min="10" max="10" width="16.109375" style="32" customWidth="1"/>
    <col min="11" max="11" width="12" style="32" customWidth="1"/>
    <col min="12" max="12" width="13.77734375" style="32" customWidth="1"/>
    <col min="13" max="13" width="15.88671875" style="32" customWidth="1"/>
    <col min="14" max="16384" width="8.88671875" style="3"/>
  </cols>
  <sheetData>
    <row r="1" spans="1:13" ht="15" thickBot="1" x14ac:dyDescent="0.35"/>
    <row r="2" spans="1:13" s="36" customFormat="1" ht="36" x14ac:dyDescent="0.3">
      <c r="A2" s="49" t="s">
        <v>90</v>
      </c>
      <c r="B2" s="50" t="s">
        <v>164</v>
      </c>
      <c r="C2" s="51"/>
      <c r="D2" s="52"/>
      <c r="E2" s="52"/>
      <c r="F2" s="52"/>
      <c r="G2" s="52"/>
      <c r="H2" s="52"/>
      <c r="I2" s="64"/>
      <c r="J2" s="53"/>
      <c r="K2" s="54"/>
      <c r="L2" s="38"/>
      <c r="M2" s="38"/>
    </row>
    <row r="3" spans="1:13" s="36" customFormat="1" ht="18" x14ac:dyDescent="0.3">
      <c r="A3" s="55" t="s">
        <v>165</v>
      </c>
      <c r="B3" s="39">
        <f>900+400</f>
        <v>1300</v>
      </c>
      <c r="C3" s="37"/>
      <c r="I3" s="65"/>
      <c r="J3" s="38"/>
      <c r="K3" s="56"/>
      <c r="L3" s="38"/>
      <c r="M3" s="38"/>
    </row>
    <row r="4" spans="1:13" s="36" customFormat="1" ht="18" x14ac:dyDescent="0.3">
      <c r="A4" s="55" t="s">
        <v>166</v>
      </c>
      <c r="B4" s="39">
        <f>1155+540.27</f>
        <v>1695.27</v>
      </c>
      <c r="C4" s="37"/>
      <c r="I4" s="65"/>
      <c r="J4" s="38"/>
      <c r="K4" s="56"/>
      <c r="L4" s="38"/>
      <c r="M4" s="38"/>
    </row>
    <row r="5" spans="1:13" ht="29.4" customHeight="1" thickBot="1" x14ac:dyDescent="0.35">
      <c r="A5" s="57" t="s">
        <v>163</v>
      </c>
      <c r="B5" s="58"/>
      <c r="C5" s="59"/>
      <c r="D5" s="58"/>
      <c r="E5" s="58"/>
      <c r="F5" s="58"/>
      <c r="G5" s="58"/>
      <c r="H5" s="58"/>
      <c r="I5" s="66"/>
      <c r="J5" s="60"/>
      <c r="K5" s="61"/>
    </row>
    <row r="6" spans="1:13" ht="18" x14ac:dyDescent="0.3">
      <c r="A6" s="42"/>
      <c r="B6" s="42"/>
      <c r="C6" s="42"/>
      <c r="D6" s="43">
        <v>815.23</v>
      </c>
      <c r="E6" s="44">
        <v>498.96</v>
      </c>
      <c r="F6" s="43">
        <v>444.42</v>
      </c>
      <c r="G6" s="45"/>
      <c r="H6" s="46"/>
      <c r="I6" s="67"/>
      <c r="J6" s="47" t="s">
        <v>112</v>
      </c>
      <c r="K6" s="48"/>
    </row>
    <row r="7" spans="1:13" ht="18" x14ac:dyDescent="0.3">
      <c r="A7" s="7" t="s">
        <v>0</v>
      </c>
      <c r="B7" s="7" t="s">
        <v>1</v>
      </c>
      <c r="C7" s="7" t="s">
        <v>2</v>
      </c>
      <c r="D7" s="9" t="s">
        <v>108</v>
      </c>
      <c r="E7" s="22" t="s">
        <v>108</v>
      </c>
      <c r="F7" s="9" t="s">
        <v>108</v>
      </c>
      <c r="G7" s="9" t="s">
        <v>99</v>
      </c>
      <c r="H7" s="9" t="s">
        <v>3</v>
      </c>
      <c r="I7" s="10" t="s">
        <v>4</v>
      </c>
      <c r="J7" s="33" t="s">
        <v>113</v>
      </c>
      <c r="K7" s="33" t="s">
        <v>114</v>
      </c>
      <c r="L7" s="62" t="s">
        <v>179</v>
      </c>
      <c r="M7" s="62" t="s">
        <v>180</v>
      </c>
    </row>
    <row r="8" spans="1:13" ht="18" x14ac:dyDescent="0.3">
      <c r="A8" s="11" t="s">
        <v>5</v>
      </c>
      <c r="B8" s="11"/>
      <c r="C8" s="7"/>
      <c r="D8" s="11" t="s">
        <v>93</v>
      </c>
      <c r="E8" s="23" t="s">
        <v>94</v>
      </c>
      <c r="F8" s="11" t="s">
        <v>95</v>
      </c>
      <c r="G8" s="11"/>
      <c r="H8" s="11"/>
      <c r="I8" s="8"/>
      <c r="J8" s="34"/>
      <c r="K8" s="34"/>
    </row>
    <row r="9" spans="1:13" ht="22.5" customHeight="1" x14ac:dyDescent="0.3">
      <c r="A9" s="2">
        <v>1</v>
      </c>
      <c r="B9" s="1" t="s">
        <v>6</v>
      </c>
      <c r="C9" s="16" t="s">
        <v>96</v>
      </c>
      <c r="D9" s="21">
        <v>220</v>
      </c>
      <c r="E9" s="21">
        <v>1232</v>
      </c>
      <c r="F9" s="21">
        <v>874</v>
      </c>
      <c r="G9" s="21">
        <f>980+1334</f>
        <v>2314</v>
      </c>
      <c r="H9" s="2" t="s">
        <v>7</v>
      </c>
      <c r="I9" s="1" t="s">
        <v>115</v>
      </c>
      <c r="J9" s="34" t="s">
        <v>115</v>
      </c>
      <c r="K9" s="34" t="s">
        <v>116</v>
      </c>
    </row>
    <row r="10" spans="1:13" ht="22.5" customHeight="1" x14ac:dyDescent="0.3">
      <c r="A10" s="2">
        <v>2</v>
      </c>
      <c r="B10" s="1" t="s">
        <v>6</v>
      </c>
      <c r="C10" s="16" t="s">
        <v>97</v>
      </c>
      <c r="D10" s="21">
        <v>1474</v>
      </c>
      <c r="E10" s="21">
        <v>0</v>
      </c>
      <c r="F10" s="21">
        <v>0</v>
      </c>
      <c r="G10" s="21">
        <v>1704</v>
      </c>
      <c r="H10" s="2" t="s">
        <v>7</v>
      </c>
      <c r="I10" s="1" t="s">
        <v>115</v>
      </c>
      <c r="J10" s="34" t="s">
        <v>115</v>
      </c>
      <c r="K10" s="34" t="s">
        <v>116</v>
      </c>
    </row>
    <row r="11" spans="1:13" ht="22.5" customHeight="1" x14ac:dyDescent="0.3">
      <c r="A11" s="2">
        <v>3</v>
      </c>
      <c r="B11" s="1" t="s">
        <v>6</v>
      </c>
      <c r="C11" s="16" t="s">
        <v>98</v>
      </c>
      <c r="D11" s="21">
        <v>120</v>
      </c>
      <c r="E11" s="21">
        <v>0</v>
      </c>
      <c r="F11" s="21">
        <v>120</v>
      </c>
      <c r="G11" s="21">
        <v>0</v>
      </c>
      <c r="H11" s="2" t="s">
        <v>7</v>
      </c>
      <c r="I11" s="1" t="s">
        <v>115</v>
      </c>
      <c r="J11" s="34" t="s">
        <v>115</v>
      </c>
      <c r="K11" s="34" t="s">
        <v>116</v>
      </c>
    </row>
    <row r="12" spans="1:13" ht="31.2" x14ac:dyDescent="0.3">
      <c r="A12" s="2">
        <v>4</v>
      </c>
      <c r="B12" s="1" t="s">
        <v>8</v>
      </c>
      <c r="C12" s="16" t="s">
        <v>9</v>
      </c>
      <c r="D12" s="21">
        <f>((D9+D10+D11)/20)*4</f>
        <v>362.8</v>
      </c>
      <c r="E12" s="21">
        <f>((E9+E10+E11)/20)*4</f>
        <v>246.4</v>
      </c>
      <c r="F12" s="21">
        <f>((F9+F10+F11)/20)*4</f>
        <v>198.8</v>
      </c>
      <c r="G12" s="21">
        <f>SUM(D12:E12)</f>
        <v>609.20000000000005</v>
      </c>
      <c r="H12" s="2" t="s">
        <v>28</v>
      </c>
      <c r="I12" s="1" t="s">
        <v>117</v>
      </c>
      <c r="J12" s="34" t="s">
        <v>116</v>
      </c>
      <c r="K12" s="34" t="s">
        <v>116</v>
      </c>
      <c r="L12" s="32">
        <v>40</v>
      </c>
      <c r="M12" s="32">
        <f>L12*G12</f>
        <v>24368</v>
      </c>
    </row>
    <row r="13" spans="1:13" ht="15.6" x14ac:dyDescent="0.3">
      <c r="A13" s="2">
        <v>5</v>
      </c>
      <c r="B13" s="1" t="s">
        <v>100</v>
      </c>
      <c r="C13" s="16" t="s">
        <v>101</v>
      </c>
      <c r="D13" s="2">
        <v>13</v>
      </c>
      <c r="E13" s="2">
        <v>8</v>
      </c>
      <c r="F13" s="2">
        <v>8</v>
      </c>
      <c r="G13" s="21">
        <v>26</v>
      </c>
      <c r="H13" s="2" t="s">
        <v>7</v>
      </c>
      <c r="I13" s="1" t="s">
        <v>115</v>
      </c>
      <c r="J13" s="34" t="s">
        <v>115</v>
      </c>
      <c r="K13" s="34" t="s">
        <v>116</v>
      </c>
      <c r="L13" s="32">
        <v>0</v>
      </c>
      <c r="M13" s="32">
        <f>L13*G13</f>
        <v>0</v>
      </c>
    </row>
    <row r="14" spans="1:13" ht="27.45" customHeight="1" x14ac:dyDescent="0.3">
      <c r="A14" s="2">
        <v>6</v>
      </c>
      <c r="B14" s="1" t="s">
        <v>10</v>
      </c>
      <c r="C14" s="16" t="s">
        <v>102</v>
      </c>
      <c r="D14" s="2">
        <v>1</v>
      </c>
      <c r="E14" s="2">
        <v>1</v>
      </c>
      <c r="F14" s="2">
        <v>1</v>
      </c>
      <c r="G14" s="21">
        <f t="shared" ref="G14:G19" si="0">F14+E14+D14</f>
        <v>3</v>
      </c>
      <c r="H14" s="2" t="s">
        <v>7</v>
      </c>
      <c r="I14" s="1" t="s">
        <v>118</v>
      </c>
      <c r="J14" s="34" t="s">
        <v>116</v>
      </c>
      <c r="K14" s="34" t="s">
        <v>116</v>
      </c>
      <c r="L14" s="32">
        <v>50000</v>
      </c>
      <c r="M14" s="32">
        <f>L14*G14</f>
        <v>150000</v>
      </c>
    </row>
    <row r="15" spans="1:13" ht="27.45" customHeight="1" x14ac:dyDescent="0.3">
      <c r="A15" s="2">
        <v>7</v>
      </c>
      <c r="B15" s="1" t="s">
        <v>111</v>
      </c>
      <c r="C15" s="16"/>
      <c r="D15" s="2">
        <v>1</v>
      </c>
      <c r="E15" s="2">
        <v>0</v>
      </c>
      <c r="F15" s="2">
        <v>0</v>
      </c>
      <c r="G15" s="21">
        <f t="shared" si="0"/>
        <v>1</v>
      </c>
      <c r="H15" s="2" t="s">
        <v>7</v>
      </c>
      <c r="I15" s="1" t="s">
        <v>118</v>
      </c>
      <c r="J15" s="34" t="s">
        <v>116</v>
      </c>
      <c r="K15" s="34" t="s">
        <v>116</v>
      </c>
      <c r="L15" s="32">
        <v>2500000</v>
      </c>
    </row>
    <row r="16" spans="1:13" ht="31.2" x14ac:dyDescent="0.3">
      <c r="A16" s="2">
        <v>8</v>
      </c>
      <c r="B16" s="1" t="s">
        <v>11</v>
      </c>
      <c r="C16" s="16" t="s">
        <v>103</v>
      </c>
      <c r="D16" s="2">
        <f>133*2+50</f>
        <v>316</v>
      </c>
      <c r="E16" s="2">
        <f>100*2+50</f>
        <v>250</v>
      </c>
      <c r="F16" s="2">
        <f>110*2+50</f>
        <v>270</v>
      </c>
      <c r="G16" s="21">
        <f t="shared" si="0"/>
        <v>836</v>
      </c>
      <c r="H16" s="2" t="s">
        <v>12</v>
      </c>
      <c r="I16" s="1" t="s">
        <v>119</v>
      </c>
      <c r="J16" s="34" t="s">
        <v>116</v>
      </c>
      <c r="K16" s="34" t="s">
        <v>116</v>
      </c>
    </row>
    <row r="17" spans="1:13" ht="31.2" x14ac:dyDescent="0.3">
      <c r="A17" s="2">
        <v>9</v>
      </c>
      <c r="B17" s="1" t="s">
        <v>22</v>
      </c>
      <c r="C17" s="16" t="s">
        <v>23</v>
      </c>
      <c r="D17" s="2">
        <f>D16</f>
        <v>316</v>
      </c>
      <c r="E17" s="2">
        <f t="shared" ref="E17:F17" si="1">E16</f>
        <v>250</v>
      </c>
      <c r="F17" s="2">
        <f t="shared" si="1"/>
        <v>270</v>
      </c>
      <c r="G17" s="21">
        <f t="shared" si="0"/>
        <v>836</v>
      </c>
      <c r="H17" s="2" t="s">
        <v>12</v>
      </c>
      <c r="I17" s="1" t="s">
        <v>120</v>
      </c>
      <c r="J17" s="34" t="s">
        <v>116</v>
      </c>
      <c r="K17" s="34" t="s">
        <v>116</v>
      </c>
    </row>
    <row r="18" spans="1:13" ht="31.2" x14ac:dyDescent="0.3">
      <c r="A18" s="2">
        <v>10</v>
      </c>
      <c r="B18" s="1" t="s">
        <v>25</v>
      </c>
      <c r="C18" s="16" t="s">
        <v>23</v>
      </c>
      <c r="D18" s="2">
        <v>120</v>
      </c>
      <c r="E18" s="2">
        <v>120</v>
      </c>
      <c r="F18" s="2">
        <v>120</v>
      </c>
      <c r="G18" s="21">
        <f t="shared" si="0"/>
        <v>360</v>
      </c>
      <c r="H18" s="2" t="s">
        <v>7</v>
      </c>
      <c r="I18" s="1" t="s">
        <v>120</v>
      </c>
      <c r="J18" s="34" t="s">
        <v>116</v>
      </c>
      <c r="K18" s="34" t="s">
        <v>116</v>
      </c>
    </row>
    <row r="19" spans="1:13" ht="31.2" x14ac:dyDescent="0.3">
      <c r="A19" s="2">
        <v>11</v>
      </c>
      <c r="B19" s="1" t="s">
        <v>26</v>
      </c>
      <c r="C19" s="16" t="s">
        <v>23</v>
      </c>
      <c r="D19" s="2">
        <v>120</v>
      </c>
      <c r="E19" s="2">
        <v>120</v>
      </c>
      <c r="F19" s="2">
        <v>120</v>
      </c>
      <c r="G19" s="21">
        <f t="shared" si="0"/>
        <v>360</v>
      </c>
      <c r="H19" s="2" t="s">
        <v>7</v>
      </c>
      <c r="I19" s="1" t="s">
        <v>120</v>
      </c>
      <c r="J19" s="34" t="s">
        <v>116</v>
      </c>
      <c r="K19" s="34" t="s">
        <v>116</v>
      </c>
    </row>
    <row r="20" spans="1:13" ht="46.8" x14ac:dyDescent="0.3">
      <c r="A20" s="2">
        <f t="shared" ref="A20" si="2">A19+1</f>
        <v>12</v>
      </c>
      <c r="B20" s="1" t="s">
        <v>13</v>
      </c>
      <c r="C20" s="16" t="s">
        <v>14</v>
      </c>
      <c r="D20" s="2">
        <v>1</v>
      </c>
      <c r="E20" s="2">
        <v>0</v>
      </c>
      <c r="F20" s="2">
        <v>0</v>
      </c>
      <c r="G20" s="21">
        <f t="shared" ref="G20" si="3">F20+E20+D20</f>
        <v>1</v>
      </c>
      <c r="H20" s="2" t="s">
        <v>15</v>
      </c>
      <c r="I20" s="1" t="s">
        <v>121</v>
      </c>
      <c r="J20" s="34" t="s">
        <v>116</v>
      </c>
      <c r="K20" s="34" t="s">
        <v>116</v>
      </c>
    </row>
    <row r="21" spans="1:13" ht="18" x14ac:dyDescent="0.3">
      <c r="A21" s="11" t="s">
        <v>16</v>
      </c>
      <c r="B21" s="13"/>
      <c r="C21" s="24"/>
      <c r="D21" s="13"/>
      <c r="E21" s="13"/>
      <c r="F21" s="13"/>
      <c r="G21" s="13"/>
      <c r="H21" s="13"/>
      <c r="I21" s="12"/>
      <c r="J21" s="28"/>
      <c r="K21" s="28"/>
    </row>
    <row r="22" spans="1:13" ht="31.2" x14ac:dyDescent="0.3">
      <c r="A22" s="2">
        <f>A20+1</f>
        <v>13</v>
      </c>
      <c r="B22" s="1" t="s">
        <v>68</v>
      </c>
      <c r="C22" s="16" t="s">
        <v>122</v>
      </c>
      <c r="D22" s="21">
        <f>D6</f>
        <v>815.23</v>
      </c>
      <c r="E22" s="21">
        <f>E6</f>
        <v>498.96</v>
      </c>
      <c r="F22" s="21">
        <f>F6</f>
        <v>444.42</v>
      </c>
      <c r="G22" s="21">
        <f>B4</f>
        <v>1695.27</v>
      </c>
      <c r="H22" s="2" t="s">
        <v>65</v>
      </c>
      <c r="I22" s="1" t="s">
        <v>17</v>
      </c>
      <c r="J22" s="34" t="s">
        <v>116</v>
      </c>
      <c r="K22" s="34" t="s">
        <v>116</v>
      </c>
    </row>
    <row r="23" spans="1:13" ht="15.6" x14ac:dyDescent="0.3">
      <c r="A23" s="2">
        <f t="shared" ref="A23" si="4">A22+1</f>
        <v>14</v>
      </c>
      <c r="B23" s="1" t="s">
        <v>18</v>
      </c>
      <c r="C23" s="16" t="s">
        <v>69</v>
      </c>
      <c r="D23" s="21">
        <f>(100*5)+(5*60)+(70*2)</f>
        <v>940</v>
      </c>
      <c r="E23" s="21">
        <f>7*53+4*53*2</f>
        <v>795</v>
      </c>
      <c r="F23" s="21">
        <f>80*6</f>
        <v>480</v>
      </c>
      <c r="G23" s="21">
        <v>1610</v>
      </c>
      <c r="H23" s="2" t="s">
        <v>123</v>
      </c>
      <c r="I23" s="1" t="s">
        <v>17</v>
      </c>
      <c r="J23" s="34" t="s">
        <v>116</v>
      </c>
      <c r="K23" s="34" t="s">
        <v>116</v>
      </c>
    </row>
    <row r="24" spans="1:13" ht="15.6" x14ac:dyDescent="0.3">
      <c r="A24" s="2">
        <f t="shared" ref="A24" si="5">A23+1</f>
        <v>15</v>
      </c>
      <c r="B24" s="1" t="s">
        <v>109</v>
      </c>
      <c r="C24" s="16" t="s">
        <v>124</v>
      </c>
      <c r="D24" s="21">
        <f>D23*2</f>
        <v>1880</v>
      </c>
      <c r="E24" s="21">
        <f>E23*2</f>
        <v>1590</v>
      </c>
      <c r="F24" s="21">
        <f>F23*2</f>
        <v>960</v>
      </c>
      <c r="G24" s="21">
        <v>1</v>
      </c>
      <c r="H24" s="2" t="s">
        <v>28</v>
      </c>
      <c r="I24" s="1" t="s">
        <v>17</v>
      </c>
      <c r="J24" s="34" t="s">
        <v>116</v>
      </c>
      <c r="K24" s="34" t="s">
        <v>116</v>
      </c>
    </row>
    <row r="25" spans="1:13" ht="46.8" x14ac:dyDescent="0.3">
      <c r="A25" s="2">
        <f>A24+1</f>
        <v>16</v>
      </c>
      <c r="B25" s="1" t="s">
        <v>87</v>
      </c>
      <c r="C25" s="16" t="s">
        <v>125</v>
      </c>
      <c r="D25" s="21">
        <f>133*2+70</f>
        <v>336</v>
      </c>
      <c r="E25" s="21">
        <f>110*2+50</f>
        <v>270</v>
      </c>
      <c r="F25" s="21">
        <f>80*2+50</f>
        <v>210</v>
      </c>
      <c r="G25" s="21">
        <v>735</v>
      </c>
      <c r="H25" s="2" t="s">
        <v>123</v>
      </c>
      <c r="I25" s="1" t="s">
        <v>17</v>
      </c>
      <c r="J25" s="34" t="s">
        <v>116</v>
      </c>
      <c r="K25" s="34" t="s">
        <v>116</v>
      </c>
    </row>
    <row r="26" spans="1:13" ht="31.2" x14ac:dyDescent="0.3">
      <c r="A26" s="2">
        <v>17</v>
      </c>
      <c r="B26" s="1" t="s">
        <v>161</v>
      </c>
      <c r="C26" s="16" t="s">
        <v>162</v>
      </c>
      <c r="D26" s="21"/>
      <c r="E26" s="21"/>
      <c r="F26" s="21"/>
      <c r="G26" s="21">
        <v>250</v>
      </c>
      <c r="H26" s="2" t="s">
        <v>123</v>
      </c>
      <c r="I26" s="1" t="s">
        <v>17</v>
      </c>
      <c r="J26" s="34"/>
      <c r="K26" s="34"/>
    </row>
    <row r="27" spans="1:13" ht="18" x14ac:dyDescent="0.3">
      <c r="A27" s="11" t="s">
        <v>19</v>
      </c>
      <c r="B27" s="13"/>
      <c r="C27" s="19"/>
      <c r="D27" s="13"/>
      <c r="E27" s="13"/>
      <c r="F27" s="13"/>
      <c r="G27" s="29"/>
      <c r="H27" s="13"/>
      <c r="I27" s="12"/>
      <c r="J27" s="28"/>
      <c r="K27" s="28"/>
    </row>
    <row r="28" spans="1:13" ht="103.5" customHeight="1" x14ac:dyDescent="0.3">
      <c r="A28" s="2">
        <v>18</v>
      </c>
      <c r="B28" s="1" t="s">
        <v>20</v>
      </c>
      <c r="C28" s="16" t="s">
        <v>21</v>
      </c>
      <c r="D28" s="27">
        <f>ROUNDUP(D6*5.5,0)</f>
        <v>4484</v>
      </c>
      <c r="E28" s="27">
        <f>ROUNDUP(E6*5.5,0)</f>
        <v>2745</v>
      </c>
      <c r="F28" s="27">
        <f>ROUNDUP(F6*5.5,0)</f>
        <v>2445</v>
      </c>
      <c r="G28" s="21">
        <f>SUM(D28:F28)</f>
        <v>9674</v>
      </c>
      <c r="H28" s="2" t="s">
        <v>28</v>
      </c>
      <c r="I28" s="1" t="s">
        <v>126</v>
      </c>
      <c r="J28" s="34" t="s">
        <v>116</v>
      </c>
      <c r="K28" s="34" t="s">
        <v>116</v>
      </c>
    </row>
    <row r="29" spans="1:13" ht="31.2" x14ac:dyDescent="0.3">
      <c r="A29" s="2">
        <f>A28+1</f>
        <v>19</v>
      </c>
      <c r="B29" s="1" t="s">
        <v>70</v>
      </c>
      <c r="C29" s="16" t="s">
        <v>23</v>
      </c>
      <c r="D29" s="2">
        <v>1200</v>
      </c>
      <c r="E29" s="2">
        <v>1200</v>
      </c>
      <c r="F29" s="2">
        <v>1200</v>
      </c>
      <c r="G29" s="21">
        <f>SUM(D29:F29)</f>
        <v>3600</v>
      </c>
      <c r="H29" s="2" t="s">
        <v>28</v>
      </c>
      <c r="I29" s="1" t="s">
        <v>127</v>
      </c>
      <c r="J29" s="34" t="s">
        <v>116</v>
      </c>
      <c r="K29" s="34" t="s">
        <v>116</v>
      </c>
      <c r="L29" s="32">
        <v>21</v>
      </c>
      <c r="M29" s="32">
        <f>3600*L29</f>
        <v>75600</v>
      </c>
    </row>
    <row r="30" spans="1:13" ht="31.2" x14ac:dyDescent="0.3">
      <c r="A30" s="2">
        <f t="shared" ref="A30:A32" si="6">A29+1</f>
        <v>20</v>
      </c>
      <c r="B30" s="1" t="s">
        <v>71</v>
      </c>
      <c r="C30" s="16" t="s">
        <v>23</v>
      </c>
      <c r="D30" s="2">
        <v>80</v>
      </c>
      <c r="E30" s="2">
        <v>80</v>
      </c>
      <c r="F30" s="2">
        <v>80</v>
      </c>
      <c r="G30" s="21">
        <f>SUM(D30:F30)</f>
        <v>240</v>
      </c>
      <c r="H30" s="2" t="s">
        <v>28</v>
      </c>
      <c r="I30" s="1" t="s">
        <v>127</v>
      </c>
      <c r="J30" s="34" t="s">
        <v>116</v>
      </c>
      <c r="K30" s="34" t="s">
        <v>116</v>
      </c>
    </row>
    <row r="31" spans="1:13" ht="31.2" x14ac:dyDescent="0.3">
      <c r="A31" s="2">
        <f t="shared" si="6"/>
        <v>21</v>
      </c>
      <c r="B31" s="1" t="s">
        <v>72</v>
      </c>
      <c r="C31" s="16" t="s">
        <v>23</v>
      </c>
      <c r="D31" s="2">
        <v>130</v>
      </c>
      <c r="E31" s="2">
        <v>130</v>
      </c>
      <c r="F31" s="2">
        <v>130</v>
      </c>
      <c r="G31" s="21">
        <f>SUM(D31:F31)</f>
        <v>390</v>
      </c>
      <c r="H31" s="2" t="s">
        <v>28</v>
      </c>
      <c r="I31" s="1" t="s">
        <v>127</v>
      </c>
      <c r="J31" s="34" t="s">
        <v>116</v>
      </c>
      <c r="K31" s="34" t="s">
        <v>116</v>
      </c>
    </row>
    <row r="32" spans="1:13" ht="15.6" x14ac:dyDescent="0.3">
      <c r="A32" s="2">
        <f t="shared" si="6"/>
        <v>22</v>
      </c>
      <c r="B32" s="1" t="s">
        <v>27</v>
      </c>
      <c r="C32" s="16" t="s">
        <v>128</v>
      </c>
      <c r="D32" s="2">
        <v>1</v>
      </c>
      <c r="E32" s="2">
        <v>1</v>
      </c>
      <c r="F32" s="2">
        <v>1</v>
      </c>
      <c r="G32" s="21">
        <f>SUM(D32:F32)</f>
        <v>3</v>
      </c>
      <c r="H32" s="2" t="s">
        <v>28</v>
      </c>
      <c r="I32" s="1"/>
      <c r="J32" s="34" t="s">
        <v>116</v>
      </c>
      <c r="K32" s="34" t="s">
        <v>116</v>
      </c>
    </row>
    <row r="33" spans="1:11" ht="18" x14ac:dyDescent="0.3">
      <c r="A33" s="11" t="s">
        <v>29</v>
      </c>
      <c r="B33" s="13"/>
      <c r="C33" s="24"/>
      <c r="D33" s="13"/>
      <c r="E33" s="13"/>
      <c r="F33" s="13"/>
      <c r="G33" s="13"/>
      <c r="H33" s="13"/>
      <c r="I33" s="12"/>
      <c r="J33" s="28"/>
      <c r="K33" s="28"/>
    </row>
    <row r="34" spans="1:11" ht="93.6" x14ac:dyDescent="0.3">
      <c r="A34" s="2">
        <f>A32+1</f>
        <v>23</v>
      </c>
      <c r="B34" s="1" t="s">
        <v>30</v>
      </c>
      <c r="C34" s="16" t="s">
        <v>105</v>
      </c>
      <c r="D34" s="2">
        <f>160*13</f>
        <v>2080</v>
      </c>
      <c r="E34" s="2">
        <f>190*8</f>
        <v>1520</v>
      </c>
      <c r="F34" s="2">
        <f>160*8</f>
        <v>1280</v>
      </c>
      <c r="G34" s="26">
        <f t="shared" ref="G34:G39" si="7">SUM(D34:F34)</f>
        <v>4880</v>
      </c>
      <c r="H34" s="2" t="s">
        <v>28</v>
      </c>
      <c r="I34" s="1" t="s">
        <v>129</v>
      </c>
      <c r="J34" s="34" t="s">
        <v>116</v>
      </c>
      <c r="K34" s="34" t="s">
        <v>116</v>
      </c>
    </row>
    <row r="35" spans="1:11" ht="93.6" x14ac:dyDescent="0.3">
      <c r="A35" s="2">
        <f>A34+1</f>
        <v>24</v>
      </c>
      <c r="B35" s="1" t="s">
        <v>73</v>
      </c>
      <c r="C35" s="16" t="s">
        <v>104</v>
      </c>
      <c r="D35" s="2">
        <v>100</v>
      </c>
      <c r="E35" s="2">
        <v>50</v>
      </c>
      <c r="F35" s="2">
        <v>50</v>
      </c>
      <c r="G35" s="26">
        <f t="shared" si="7"/>
        <v>200</v>
      </c>
      <c r="H35" s="2" t="s">
        <v>28</v>
      </c>
      <c r="I35" s="1" t="s">
        <v>129</v>
      </c>
      <c r="J35" s="34" t="s">
        <v>116</v>
      </c>
      <c r="K35" s="34" t="s">
        <v>116</v>
      </c>
    </row>
    <row r="36" spans="1:11" ht="31.2" x14ac:dyDescent="0.3">
      <c r="A36" s="2">
        <f t="shared" ref="A36:A43" si="8">A35+1</f>
        <v>25</v>
      </c>
      <c r="B36" s="1" t="s">
        <v>131</v>
      </c>
      <c r="C36" s="16" t="s">
        <v>130</v>
      </c>
      <c r="D36" s="2">
        <v>0</v>
      </c>
      <c r="E36" s="2">
        <v>0</v>
      </c>
      <c r="F36" s="2">
        <v>0</v>
      </c>
      <c r="G36" s="26">
        <f t="shared" si="7"/>
        <v>0</v>
      </c>
      <c r="H36" s="2" t="s">
        <v>28</v>
      </c>
      <c r="I36" s="1" t="s">
        <v>17</v>
      </c>
      <c r="J36" s="34" t="s">
        <v>116</v>
      </c>
      <c r="K36" s="34" t="s">
        <v>116</v>
      </c>
    </row>
    <row r="37" spans="1:11" ht="15.6" x14ac:dyDescent="0.3">
      <c r="A37" s="2">
        <v>26</v>
      </c>
      <c r="B37" s="1" t="s">
        <v>132</v>
      </c>
      <c r="C37" s="16" t="s">
        <v>133</v>
      </c>
      <c r="D37" s="2">
        <f>13*3</f>
        <v>39</v>
      </c>
      <c r="E37" s="2">
        <f>7*3</f>
        <v>21</v>
      </c>
      <c r="F37" s="2">
        <f>7*3</f>
        <v>21</v>
      </c>
      <c r="G37" s="26">
        <f t="shared" si="7"/>
        <v>81</v>
      </c>
      <c r="H37" s="2" t="s">
        <v>28</v>
      </c>
      <c r="I37" s="1" t="s">
        <v>17</v>
      </c>
      <c r="J37" s="34" t="s">
        <v>116</v>
      </c>
      <c r="K37" s="34" t="s">
        <v>116</v>
      </c>
    </row>
    <row r="38" spans="1:11" ht="15.6" x14ac:dyDescent="0.3">
      <c r="A38" s="2">
        <v>27</v>
      </c>
      <c r="B38" s="1" t="s">
        <v>74</v>
      </c>
      <c r="C38" s="16" t="s">
        <v>106</v>
      </c>
      <c r="D38" s="2">
        <v>1</v>
      </c>
      <c r="E38" s="2">
        <v>1</v>
      </c>
      <c r="F38" s="2">
        <v>1</v>
      </c>
      <c r="G38" s="26">
        <f t="shared" si="7"/>
        <v>3</v>
      </c>
      <c r="H38" s="2" t="s">
        <v>28</v>
      </c>
      <c r="I38" s="1"/>
      <c r="J38" s="34" t="s">
        <v>116</v>
      </c>
      <c r="K38" s="34" t="s">
        <v>116</v>
      </c>
    </row>
    <row r="39" spans="1:11" ht="99" customHeight="1" x14ac:dyDescent="0.3">
      <c r="A39" s="2">
        <f t="shared" si="8"/>
        <v>28</v>
      </c>
      <c r="B39" s="1" t="s">
        <v>110</v>
      </c>
      <c r="C39" s="16" t="s">
        <v>135</v>
      </c>
      <c r="D39" s="2">
        <v>2</v>
      </c>
      <c r="E39" s="2">
        <v>1</v>
      </c>
      <c r="F39" s="2">
        <v>1</v>
      </c>
      <c r="G39" s="26">
        <f t="shared" si="7"/>
        <v>4</v>
      </c>
      <c r="H39" s="2" t="s">
        <v>7</v>
      </c>
      <c r="I39" s="1" t="s">
        <v>31</v>
      </c>
      <c r="J39" s="34" t="s">
        <v>116</v>
      </c>
      <c r="K39" s="34" t="s">
        <v>116</v>
      </c>
    </row>
    <row r="40" spans="1:11" ht="100.5" customHeight="1" x14ac:dyDescent="0.3">
      <c r="A40" s="2">
        <v>29</v>
      </c>
      <c r="B40" s="1" t="s">
        <v>134</v>
      </c>
      <c r="C40" s="16" t="s">
        <v>136</v>
      </c>
      <c r="D40" s="2"/>
      <c r="E40" s="2"/>
      <c r="F40" s="2"/>
      <c r="G40" s="26"/>
      <c r="H40" s="2" t="s">
        <v>37</v>
      </c>
      <c r="I40" s="1" t="s">
        <v>31</v>
      </c>
      <c r="J40" s="34"/>
      <c r="K40" s="34"/>
    </row>
    <row r="41" spans="1:11" ht="87.45" customHeight="1" x14ac:dyDescent="0.3">
      <c r="A41" s="2">
        <v>30</v>
      </c>
      <c r="B41" s="1" t="s">
        <v>92</v>
      </c>
      <c r="C41" s="16" t="s">
        <v>137</v>
      </c>
      <c r="D41" s="2">
        <v>2</v>
      </c>
      <c r="E41" s="2">
        <v>0</v>
      </c>
      <c r="F41" s="2">
        <v>0</v>
      </c>
      <c r="G41" s="26">
        <f>SUM(D41:F41)</f>
        <v>2</v>
      </c>
      <c r="H41" s="2" t="s">
        <v>7</v>
      </c>
      <c r="I41" s="1" t="s">
        <v>31</v>
      </c>
      <c r="J41" s="34" t="s">
        <v>116</v>
      </c>
      <c r="K41" s="34" t="s">
        <v>116</v>
      </c>
    </row>
    <row r="42" spans="1:11" ht="31.2" x14ac:dyDescent="0.3">
      <c r="A42" s="2">
        <f t="shared" si="8"/>
        <v>31</v>
      </c>
      <c r="B42" s="1" t="s">
        <v>107</v>
      </c>
      <c r="C42" s="16" t="s">
        <v>75</v>
      </c>
      <c r="D42" s="2">
        <v>100</v>
      </c>
      <c r="E42" s="2">
        <v>100</v>
      </c>
      <c r="F42" s="2">
        <v>100</v>
      </c>
      <c r="G42" s="26">
        <f>SUM(D42:F42)</f>
        <v>300</v>
      </c>
      <c r="H42" s="2" t="s">
        <v>28</v>
      </c>
      <c r="I42" s="1" t="s">
        <v>138</v>
      </c>
      <c r="J42" s="34" t="s">
        <v>116</v>
      </c>
      <c r="K42" s="34" t="s">
        <v>116</v>
      </c>
    </row>
    <row r="43" spans="1:11" ht="15.6" x14ac:dyDescent="0.3">
      <c r="A43" s="2">
        <f t="shared" si="8"/>
        <v>32</v>
      </c>
      <c r="B43" s="1" t="s">
        <v>32</v>
      </c>
      <c r="C43" s="16" t="s">
        <v>33</v>
      </c>
      <c r="D43" s="21">
        <f>(D9+D10+D11)*0.3*1.1</f>
        <v>598.62</v>
      </c>
      <c r="E43" s="21">
        <f>(E9+E10+E11)*0.3*1.1</f>
        <v>406.56</v>
      </c>
      <c r="F43" s="21">
        <f>(F9+F10+F11)*0.3*1.1</f>
        <v>328.02000000000004</v>
      </c>
      <c r="G43" s="26">
        <f>SUM(D43:F43)</f>
        <v>1333.2</v>
      </c>
      <c r="H43" s="2" t="s">
        <v>28</v>
      </c>
      <c r="I43" s="1" t="s">
        <v>138</v>
      </c>
      <c r="J43" s="34" t="s">
        <v>116</v>
      </c>
      <c r="K43" s="34" t="s">
        <v>116</v>
      </c>
    </row>
    <row r="44" spans="1:11" ht="15.6" x14ac:dyDescent="0.3">
      <c r="A44" s="2">
        <v>33</v>
      </c>
      <c r="B44" s="1" t="s">
        <v>34</v>
      </c>
      <c r="C44" s="16" t="s">
        <v>35</v>
      </c>
      <c r="D44" s="2">
        <f>50*3/2</f>
        <v>75</v>
      </c>
      <c r="E44" s="2">
        <f>50*2/2</f>
        <v>50</v>
      </c>
      <c r="F44" s="2">
        <f>50*2/2</f>
        <v>50</v>
      </c>
      <c r="G44" s="26">
        <f>SUM(D44:F44)</f>
        <v>175</v>
      </c>
      <c r="H44" s="2" t="s">
        <v>28</v>
      </c>
      <c r="I44" s="1" t="s">
        <v>138</v>
      </c>
      <c r="J44" s="34" t="s">
        <v>116</v>
      </c>
      <c r="K44" s="34" t="s">
        <v>116</v>
      </c>
    </row>
    <row r="45" spans="1:11" ht="18" x14ac:dyDescent="0.3">
      <c r="A45" s="11" t="s">
        <v>36</v>
      </c>
      <c r="B45" s="13"/>
      <c r="C45" s="24"/>
      <c r="D45" s="13"/>
      <c r="E45" s="13"/>
      <c r="F45" s="13"/>
      <c r="G45" s="30">
        <f t="shared" ref="G45:G73" si="9">F45+E45+D45</f>
        <v>0</v>
      </c>
      <c r="H45" s="13"/>
      <c r="I45" s="12"/>
      <c r="J45" s="35"/>
      <c r="K45" s="35"/>
    </row>
    <row r="46" spans="1:11" ht="15.6" x14ac:dyDescent="0.3">
      <c r="A46" s="5">
        <v>34</v>
      </c>
      <c r="B46" s="1" t="s">
        <v>79</v>
      </c>
      <c r="C46" s="16" t="s">
        <v>76</v>
      </c>
      <c r="D46" s="2" t="e">
        <f>#REF!</f>
        <v>#REF!</v>
      </c>
      <c r="E46" s="2" t="e">
        <f>#REF!</f>
        <v>#REF!</v>
      </c>
      <c r="F46" s="2" t="e">
        <f>#REF!</f>
        <v>#REF!</v>
      </c>
      <c r="G46" s="26">
        <v>1</v>
      </c>
      <c r="H46" s="2" t="s">
        <v>28</v>
      </c>
      <c r="I46" s="1" t="s">
        <v>138</v>
      </c>
      <c r="J46" s="34" t="s">
        <v>116</v>
      </c>
      <c r="K46" s="34" t="s">
        <v>116</v>
      </c>
    </row>
    <row r="47" spans="1:11" ht="15.6" x14ac:dyDescent="0.3">
      <c r="A47" s="5">
        <f t="shared" ref="A47:A48" si="10">A46+1</f>
        <v>35</v>
      </c>
      <c r="B47" s="1" t="s">
        <v>79</v>
      </c>
      <c r="C47" s="16" t="s">
        <v>77</v>
      </c>
      <c r="D47" s="2">
        <f>600</f>
        <v>600</v>
      </c>
      <c r="E47" s="2">
        <f>600</f>
        <v>600</v>
      </c>
      <c r="F47" s="2">
        <f>600</f>
        <v>600</v>
      </c>
      <c r="G47" s="26">
        <v>1</v>
      </c>
      <c r="H47" s="2" t="s">
        <v>28</v>
      </c>
      <c r="I47" s="1" t="s">
        <v>138</v>
      </c>
      <c r="J47" s="34" t="s">
        <v>116</v>
      </c>
      <c r="K47" s="34" t="s">
        <v>116</v>
      </c>
    </row>
    <row r="48" spans="1:11" ht="15.6" x14ac:dyDescent="0.3">
      <c r="A48" s="5">
        <f t="shared" si="10"/>
        <v>36</v>
      </c>
      <c r="B48" s="1" t="s">
        <v>79</v>
      </c>
      <c r="C48" s="16" t="s">
        <v>78</v>
      </c>
      <c r="D48" s="2">
        <v>100</v>
      </c>
      <c r="E48" s="2">
        <v>100</v>
      </c>
      <c r="F48" s="2">
        <v>100</v>
      </c>
      <c r="G48" s="26">
        <v>1</v>
      </c>
      <c r="H48" s="2" t="s">
        <v>28</v>
      </c>
      <c r="I48" s="1" t="s">
        <v>138</v>
      </c>
      <c r="J48" s="34" t="s">
        <v>116</v>
      </c>
      <c r="K48" s="34" t="s">
        <v>116</v>
      </c>
    </row>
    <row r="49" spans="1:11" ht="18" x14ac:dyDescent="0.3">
      <c r="A49" s="11" t="s">
        <v>38</v>
      </c>
      <c r="B49" s="13"/>
      <c r="C49" s="24"/>
      <c r="D49" s="13"/>
      <c r="E49" s="13"/>
      <c r="F49" s="13"/>
      <c r="G49" s="30">
        <f t="shared" si="9"/>
        <v>0</v>
      </c>
      <c r="H49" s="13"/>
      <c r="I49" s="12"/>
      <c r="J49" s="35"/>
      <c r="K49" s="35"/>
    </row>
    <row r="50" spans="1:11" ht="15.6" x14ac:dyDescent="0.3">
      <c r="A50" s="5">
        <f>A48+1</f>
        <v>37</v>
      </c>
      <c r="B50" s="1" t="s">
        <v>140</v>
      </c>
      <c r="C50" s="16" t="s">
        <v>139</v>
      </c>
      <c r="D50" s="4">
        <v>1</v>
      </c>
      <c r="E50" s="4">
        <v>1</v>
      </c>
      <c r="F50" s="4">
        <v>1</v>
      </c>
      <c r="G50" s="26">
        <v>1</v>
      </c>
      <c r="H50" s="2" t="s">
        <v>28</v>
      </c>
      <c r="I50" s="1" t="s">
        <v>138</v>
      </c>
      <c r="J50" s="34" t="s">
        <v>116</v>
      </c>
      <c r="K50" s="34" t="s">
        <v>116</v>
      </c>
    </row>
    <row r="51" spans="1:11" ht="31.2" x14ac:dyDescent="0.3">
      <c r="A51" s="5">
        <v>38</v>
      </c>
      <c r="B51" s="1" t="s">
        <v>141</v>
      </c>
      <c r="C51" s="16" t="s">
        <v>142</v>
      </c>
      <c r="D51" s="4">
        <v>1</v>
      </c>
      <c r="E51" s="4">
        <v>1</v>
      </c>
      <c r="F51" s="4">
        <v>1</v>
      </c>
      <c r="G51" s="26">
        <v>1</v>
      </c>
      <c r="H51" s="2" t="s">
        <v>28</v>
      </c>
      <c r="I51" s="1" t="s">
        <v>138</v>
      </c>
      <c r="J51" s="34" t="s">
        <v>116</v>
      </c>
      <c r="K51" s="34" t="s">
        <v>116</v>
      </c>
    </row>
    <row r="52" spans="1:11" ht="31.2" x14ac:dyDescent="0.3">
      <c r="A52" s="5">
        <v>39</v>
      </c>
      <c r="B52" s="1" t="s">
        <v>143</v>
      </c>
      <c r="C52" s="16" t="s">
        <v>144</v>
      </c>
      <c r="D52" s="4">
        <v>1</v>
      </c>
      <c r="E52" s="4">
        <v>1</v>
      </c>
      <c r="F52" s="4">
        <v>1</v>
      </c>
      <c r="G52" s="26">
        <v>1</v>
      </c>
      <c r="H52" s="2" t="s">
        <v>28</v>
      </c>
      <c r="I52" s="1" t="s">
        <v>138</v>
      </c>
      <c r="J52" s="34" t="s">
        <v>116</v>
      </c>
      <c r="K52" s="34" t="s">
        <v>116</v>
      </c>
    </row>
    <row r="53" spans="1:11" ht="31.2" x14ac:dyDescent="0.3">
      <c r="A53" s="5">
        <v>40</v>
      </c>
      <c r="B53" s="17" t="s">
        <v>40</v>
      </c>
      <c r="C53" s="17" t="s">
        <v>41</v>
      </c>
      <c r="D53" s="4">
        <v>1</v>
      </c>
      <c r="E53" s="4">
        <v>1</v>
      </c>
      <c r="F53" s="4">
        <v>1</v>
      </c>
      <c r="G53" s="26">
        <v>1</v>
      </c>
      <c r="H53" s="2" t="s">
        <v>28</v>
      </c>
      <c r="I53" s="1" t="s">
        <v>138</v>
      </c>
      <c r="J53" s="34" t="s">
        <v>116</v>
      </c>
      <c r="K53" s="34" t="s">
        <v>116</v>
      </c>
    </row>
    <row r="54" spans="1:11" ht="31.2" x14ac:dyDescent="0.3">
      <c r="A54" s="5">
        <v>41</v>
      </c>
      <c r="B54" s="17" t="s">
        <v>66</v>
      </c>
      <c r="C54" s="16" t="s">
        <v>145</v>
      </c>
      <c r="D54" s="4">
        <v>1</v>
      </c>
      <c r="E54" s="4">
        <v>1</v>
      </c>
      <c r="F54" s="4">
        <v>1</v>
      </c>
      <c r="G54" s="26">
        <v>6</v>
      </c>
      <c r="H54" s="5" t="s">
        <v>37</v>
      </c>
      <c r="I54" s="1" t="s">
        <v>138</v>
      </c>
      <c r="J54" s="34" t="s">
        <v>116</v>
      </c>
      <c r="K54" s="34" t="s">
        <v>116</v>
      </c>
    </row>
    <row r="55" spans="1:11" ht="15.6" x14ac:dyDescent="0.3">
      <c r="A55" s="5">
        <f t="shared" ref="A55:A60" si="11">A54+1</f>
        <v>42</v>
      </c>
      <c r="B55" s="17" t="s">
        <v>66</v>
      </c>
      <c r="C55" s="16" t="s">
        <v>146</v>
      </c>
      <c r="D55" s="4">
        <v>1</v>
      </c>
      <c r="E55" s="4">
        <v>1</v>
      </c>
      <c r="F55" s="4">
        <v>1</v>
      </c>
      <c r="G55" s="26">
        <f t="shared" si="9"/>
        <v>3</v>
      </c>
      <c r="H55" s="5" t="s">
        <v>37</v>
      </c>
      <c r="I55" s="1" t="s">
        <v>138</v>
      </c>
      <c r="J55" s="34" t="s">
        <v>116</v>
      </c>
      <c r="K55" s="34" t="s">
        <v>116</v>
      </c>
    </row>
    <row r="56" spans="1:11" ht="46.8" x14ac:dyDescent="0.3">
      <c r="A56" s="5">
        <v>43</v>
      </c>
      <c r="B56" s="17" t="s">
        <v>66</v>
      </c>
      <c r="C56" s="16" t="s">
        <v>81</v>
      </c>
      <c r="D56" s="4">
        <v>1</v>
      </c>
      <c r="E56" s="4">
        <v>1</v>
      </c>
      <c r="F56" s="4">
        <v>1</v>
      </c>
      <c r="G56" s="26">
        <f t="shared" si="9"/>
        <v>3</v>
      </c>
      <c r="H56" s="5" t="s">
        <v>37</v>
      </c>
      <c r="I56" s="1" t="s">
        <v>138</v>
      </c>
      <c r="J56" s="34" t="s">
        <v>116</v>
      </c>
      <c r="K56" s="34" t="s">
        <v>116</v>
      </c>
    </row>
    <row r="57" spans="1:11" ht="62.4" x14ac:dyDescent="0.3">
      <c r="A57" s="5">
        <v>44</v>
      </c>
      <c r="B57" s="1" t="s">
        <v>147</v>
      </c>
      <c r="C57" s="16" t="s">
        <v>148</v>
      </c>
      <c r="D57" s="5">
        <v>1</v>
      </c>
      <c r="E57" s="5">
        <v>1</v>
      </c>
      <c r="F57" s="5">
        <v>1</v>
      </c>
      <c r="G57" s="26">
        <v>1</v>
      </c>
      <c r="H57" s="5" t="s">
        <v>28</v>
      </c>
      <c r="I57" s="1" t="s">
        <v>138</v>
      </c>
      <c r="J57" s="34" t="s">
        <v>116</v>
      </c>
      <c r="K57" s="34" t="s">
        <v>116</v>
      </c>
    </row>
    <row r="58" spans="1:11" ht="15.6" x14ac:dyDescent="0.3">
      <c r="A58" s="5">
        <v>45</v>
      </c>
      <c r="B58" s="14" t="s">
        <v>42</v>
      </c>
      <c r="C58" s="17" t="s">
        <v>43</v>
      </c>
      <c r="D58" s="5">
        <v>1</v>
      </c>
      <c r="E58" s="5">
        <v>1</v>
      </c>
      <c r="F58" s="5">
        <v>1</v>
      </c>
      <c r="G58" s="26">
        <v>1</v>
      </c>
      <c r="H58" s="5" t="s">
        <v>28</v>
      </c>
      <c r="I58" s="1" t="s">
        <v>138</v>
      </c>
      <c r="J58" s="34" t="s">
        <v>116</v>
      </c>
      <c r="K58" s="34" t="s">
        <v>116</v>
      </c>
    </row>
    <row r="59" spans="1:11" ht="31.2" x14ac:dyDescent="0.3">
      <c r="A59" s="5">
        <f t="shared" si="11"/>
        <v>46</v>
      </c>
      <c r="B59" s="1" t="s">
        <v>149</v>
      </c>
      <c r="C59" s="16" t="s">
        <v>44</v>
      </c>
      <c r="D59" s="5">
        <v>1</v>
      </c>
      <c r="E59" s="5">
        <v>1</v>
      </c>
      <c r="F59" s="5">
        <v>1</v>
      </c>
      <c r="G59" s="26">
        <v>1</v>
      </c>
      <c r="H59" s="5" t="s">
        <v>28</v>
      </c>
      <c r="I59" s="1" t="s">
        <v>138</v>
      </c>
      <c r="J59" s="34" t="s">
        <v>116</v>
      </c>
      <c r="K59" s="34" t="s">
        <v>116</v>
      </c>
    </row>
    <row r="60" spans="1:11" ht="15.6" x14ac:dyDescent="0.3">
      <c r="A60" s="5">
        <f t="shared" si="11"/>
        <v>47</v>
      </c>
      <c r="B60" s="1" t="s">
        <v>45</v>
      </c>
      <c r="C60" s="16" t="s">
        <v>82</v>
      </c>
      <c r="D60" s="5">
        <v>1</v>
      </c>
      <c r="E60" s="5">
        <v>1</v>
      </c>
      <c r="F60" s="5">
        <v>1</v>
      </c>
      <c r="G60" s="26">
        <v>1</v>
      </c>
      <c r="H60" s="5" t="s">
        <v>28</v>
      </c>
      <c r="I60" s="1" t="s">
        <v>138</v>
      </c>
      <c r="J60" s="34" t="s">
        <v>116</v>
      </c>
      <c r="K60" s="34" t="s">
        <v>116</v>
      </c>
    </row>
    <row r="61" spans="1:11" ht="15.6" x14ac:dyDescent="0.3">
      <c r="A61" s="5">
        <v>48</v>
      </c>
      <c r="B61" s="1" t="s">
        <v>46</v>
      </c>
      <c r="C61" s="16" t="s">
        <v>83</v>
      </c>
      <c r="D61" s="5">
        <v>13</v>
      </c>
      <c r="E61" s="5">
        <v>8</v>
      </c>
      <c r="F61" s="5">
        <v>8</v>
      </c>
      <c r="G61" s="26">
        <v>26</v>
      </c>
      <c r="H61" s="5" t="s">
        <v>7</v>
      </c>
      <c r="I61" s="1" t="s">
        <v>138</v>
      </c>
      <c r="J61" s="34" t="s">
        <v>116</v>
      </c>
      <c r="K61" s="34" t="s">
        <v>116</v>
      </c>
    </row>
    <row r="62" spans="1:11" ht="31.2" x14ac:dyDescent="0.3">
      <c r="A62" s="5">
        <v>49</v>
      </c>
      <c r="B62" s="1" t="s">
        <v>47</v>
      </c>
      <c r="C62" s="16" t="s">
        <v>48</v>
      </c>
      <c r="D62" s="5">
        <v>4</v>
      </c>
      <c r="E62" s="5">
        <v>4</v>
      </c>
      <c r="F62" s="5">
        <v>4</v>
      </c>
      <c r="G62" s="26">
        <v>1</v>
      </c>
      <c r="H62" s="5" t="s">
        <v>28</v>
      </c>
      <c r="I62" s="1" t="s">
        <v>138</v>
      </c>
      <c r="J62" s="34" t="s">
        <v>116</v>
      </c>
      <c r="K62" s="34" t="s">
        <v>116</v>
      </c>
    </row>
    <row r="63" spans="1:11" ht="18" x14ac:dyDescent="0.3">
      <c r="A63" s="11" t="s">
        <v>49</v>
      </c>
      <c r="B63" s="13"/>
      <c r="C63" s="24"/>
      <c r="D63" s="13"/>
      <c r="E63" s="13"/>
      <c r="F63" s="13"/>
      <c r="G63" s="30">
        <f t="shared" si="9"/>
        <v>0</v>
      </c>
      <c r="H63" s="13"/>
      <c r="I63" s="12"/>
      <c r="J63" s="35"/>
      <c r="K63" s="35"/>
    </row>
    <row r="64" spans="1:11" ht="15.6" x14ac:dyDescent="0.3">
      <c r="A64" s="5">
        <f>A62+1</f>
        <v>50</v>
      </c>
      <c r="B64" s="1" t="s">
        <v>50</v>
      </c>
      <c r="C64" s="16" t="s">
        <v>51</v>
      </c>
      <c r="D64" s="4">
        <f>650*2</f>
        <v>1300</v>
      </c>
      <c r="E64" s="4">
        <f t="shared" ref="E64:F65" si="12">650*2</f>
        <v>1300</v>
      </c>
      <c r="F64" s="4">
        <f t="shared" si="12"/>
        <v>1300</v>
      </c>
      <c r="G64" s="26">
        <v>1</v>
      </c>
      <c r="H64" s="5" t="s">
        <v>28</v>
      </c>
      <c r="I64" s="1" t="s">
        <v>138</v>
      </c>
      <c r="J64" s="34" t="s">
        <v>116</v>
      </c>
      <c r="K64" s="34" t="s">
        <v>116</v>
      </c>
    </row>
    <row r="65" spans="1:11" ht="15.6" x14ac:dyDescent="0.3">
      <c r="A65" s="5">
        <f>A64+1</f>
        <v>51</v>
      </c>
      <c r="B65" s="1" t="s">
        <v>50</v>
      </c>
      <c r="C65" s="16" t="s">
        <v>89</v>
      </c>
      <c r="D65" s="4">
        <f>650*2</f>
        <v>1300</v>
      </c>
      <c r="E65" s="4">
        <f t="shared" si="12"/>
        <v>1300</v>
      </c>
      <c r="F65" s="4">
        <f t="shared" si="12"/>
        <v>1300</v>
      </c>
      <c r="G65" s="26">
        <v>1</v>
      </c>
      <c r="H65" s="5" t="s">
        <v>28</v>
      </c>
      <c r="I65" s="1" t="s">
        <v>138</v>
      </c>
      <c r="J65" s="34" t="s">
        <v>116</v>
      </c>
      <c r="K65" s="34" t="s">
        <v>116</v>
      </c>
    </row>
    <row r="66" spans="1:11" ht="202.8" x14ac:dyDescent="0.3">
      <c r="A66" s="5">
        <f t="shared" ref="A66:A67" si="13">A65+1</f>
        <v>52</v>
      </c>
      <c r="B66" s="1" t="s">
        <v>50</v>
      </c>
      <c r="C66" s="17" t="s">
        <v>67</v>
      </c>
      <c r="D66" s="5">
        <v>15</v>
      </c>
      <c r="E66" s="5">
        <v>10</v>
      </c>
      <c r="F66" s="5">
        <v>15</v>
      </c>
      <c r="G66" s="26">
        <v>32</v>
      </c>
      <c r="H66" s="5" t="s">
        <v>15</v>
      </c>
      <c r="I66" s="1" t="s">
        <v>150</v>
      </c>
      <c r="J66" s="34" t="s">
        <v>116</v>
      </c>
      <c r="K66" s="34" t="s">
        <v>116</v>
      </c>
    </row>
    <row r="67" spans="1:11" ht="31.2" x14ac:dyDescent="0.3">
      <c r="A67" s="5">
        <f t="shared" si="13"/>
        <v>53</v>
      </c>
      <c r="B67" s="1" t="s">
        <v>88</v>
      </c>
      <c r="C67" s="16" t="s">
        <v>151</v>
      </c>
      <c r="D67" s="5">
        <v>100</v>
      </c>
      <c r="E67" s="5"/>
      <c r="F67" s="5"/>
      <c r="G67" s="26">
        <v>1</v>
      </c>
      <c r="H67" s="5" t="s">
        <v>28</v>
      </c>
      <c r="I67" s="1" t="s">
        <v>138</v>
      </c>
      <c r="J67" s="34" t="s">
        <v>116</v>
      </c>
      <c r="K67" s="34" t="s">
        <v>116</v>
      </c>
    </row>
    <row r="68" spans="1:11" ht="98.55" customHeight="1" x14ac:dyDescent="0.3">
      <c r="A68" s="5">
        <v>54</v>
      </c>
      <c r="B68" s="1" t="s">
        <v>152</v>
      </c>
      <c r="C68" s="16" t="s">
        <v>52</v>
      </c>
      <c r="D68" s="5">
        <v>1</v>
      </c>
      <c r="E68" s="5">
        <v>1</v>
      </c>
      <c r="F68" s="5">
        <v>1</v>
      </c>
      <c r="G68" s="26">
        <f t="shared" si="9"/>
        <v>3</v>
      </c>
      <c r="H68" s="5" t="s">
        <v>7</v>
      </c>
      <c r="I68" s="1" t="s">
        <v>150</v>
      </c>
      <c r="J68" s="34" t="s">
        <v>116</v>
      </c>
      <c r="K68" s="34" t="s">
        <v>116</v>
      </c>
    </row>
    <row r="69" spans="1:11" ht="18" x14ac:dyDescent="0.3">
      <c r="A69" s="8" t="s">
        <v>153</v>
      </c>
      <c r="B69" s="12"/>
      <c r="C69" s="24"/>
      <c r="D69" s="12"/>
      <c r="E69" s="12"/>
      <c r="F69" s="12"/>
      <c r="G69" s="30">
        <f t="shared" si="9"/>
        <v>0</v>
      </c>
      <c r="H69" s="12"/>
      <c r="I69" s="12"/>
      <c r="J69" s="35"/>
      <c r="K69" s="35"/>
    </row>
    <row r="70" spans="1:11" ht="78" x14ac:dyDescent="0.3">
      <c r="A70" s="2">
        <v>55</v>
      </c>
      <c r="B70" s="1" t="s">
        <v>54</v>
      </c>
      <c r="C70" s="16" t="s">
        <v>154</v>
      </c>
      <c r="D70" s="4">
        <f>D6</f>
        <v>815.23</v>
      </c>
      <c r="E70" s="4">
        <f>E6</f>
        <v>498.96</v>
      </c>
      <c r="F70" s="4">
        <f>F6</f>
        <v>444.42</v>
      </c>
      <c r="G70" s="26">
        <v>1</v>
      </c>
      <c r="H70" s="5" t="s">
        <v>28</v>
      </c>
      <c r="I70" s="1" t="s">
        <v>24</v>
      </c>
      <c r="J70" s="34" t="s">
        <v>116</v>
      </c>
      <c r="K70" s="34" t="s">
        <v>116</v>
      </c>
    </row>
    <row r="71" spans="1:11" ht="18" x14ac:dyDescent="0.3">
      <c r="A71" s="8" t="s">
        <v>55</v>
      </c>
      <c r="B71" s="12"/>
      <c r="C71" s="24"/>
      <c r="D71" s="12"/>
      <c r="E71" s="12"/>
      <c r="F71" s="12"/>
      <c r="G71" s="30">
        <f t="shared" si="9"/>
        <v>0</v>
      </c>
      <c r="H71" s="12"/>
      <c r="I71" s="12"/>
      <c r="J71" s="35"/>
      <c r="K71" s="35"/>
    </row>
    <row r="72" spans="1:11" ht="15.6" x14ac:dyDescent="0.3">
      <c r="A72" s="2">
        <f>A70+1</f>
        <v>56</v>
      </c>
      <c r="B72" s="1" t="s">
        <v>84</v>
      </c>
      <c r="C72" s="25" t="s">
        <v>85</v>
      </c>
      <c r="D72" s="2">
        <v>2</v>
      </c>
      <c r="E72" s="2">
        <v>1</v>
      </c>
      <c r="F72" s="2">
        <v>1</v>
      </c>
      <c r="G72" s="26">
        <f t="shared" si="9"/>
        <v>4</v>
      </c>
      <c r="H72" s="2" t="s">
        <v>86</v>
      </c>
      <c r="I72" s="1" t="s">
        <v>39</v>
      </c>
      <c r="J72" s="34" t="s">
        <v>116</v>
      </c>
      <c r="K72" s="34" t="s">
        <v>116</v>
      </c>
    </row>
    <row r="73" spans="1:11" ht="15.6" x14ac:dyDescent="0.3">
      <c r="A73" s="2">
        <f>A72+1</f>
        <v>57</v>
      </c>
      <c r="B73" s="1" t="s">
        <v>53</v>
      </c>
      <c r="C73" s="25" t="s">
        <v>91</v>
      </c>
      <c r="D73" s="2">
        <v>15</v>
      </c>
      <c r="E73" s="2">
        <v>10</v>
      </c>
      <c r="F73" s="2">
        <v>10</v>
      </c>
      <c r="G73" s="26">
        <f t="shared" si="9"/>
        <v>35</v>
      </c>
      <c r="H73" s="2" t="s">
        <v>80</v>
      </c>
      <c r="I73" s="1" t="s">
        <v>39</v>
      </c>
      <c r="J73" s="34" t="s">
        <v>116</v>
      </c>
      <c r="K73" s="34" t="s">
        <v>116</v>
      </c>
    </row>
    <row r="74" spans="1:11" ht="171.6" x14ac:dyDescent="0.3">
      <c r="A74" s="2">
        <f t="shared" ref="A74:A80" si="14">A73+1</f>
        <v>58</v>
      </c>
      <c r="B74" s="1" t="s">
        <v>64</v>
      </c>
      <c r="C74" s="16" t="s">
        <v>58</v>
      </c>
      <c r="D74" s="5">
        <f>D6</f>
        <v>815.23</v>
      </c>
      <c r="E74" s="5">
        <f>E6</f>
        <v>498.96</v>
      </c>
      <c r="F74" s="5">
        <f>F6</f>
        <v>444.42</v>
      </c>
      <c r="G74" s="26">
        <f>B4</f>
        <v>1695.27</v>
      </c>
      <c r="H74" s="5" t="s">
        <v>65</v>
      </c>
      <c r="I74" s="1"/>
      <c r="J74" s="34" t="s">
        <v>116</v>
      </c>
      <c r="K74" s="34" t="s">
        <v>116</v>
      </c>
    </row>
    <row r="75" spans="1:11" ht="31.2" x14ac:dyDescent="0.3">
      <c r="A75" s="2">
        <f t="shared" si="14"/>
        <v>59</v>
      </c>
      <c r="B75" s="1" t="s">
        <v>56</v>
      </c>
      <c r="C75" s="16" t="s">
        <v>155</v>
      </c>
      <c r="D75" s="2">
        <v>1</v>
      </c>
      <c r="E75" s="2">
        <v>1</v>
      </c>
      <c r="F75" s="2">
        <v>1</v>
      </c>
      <c r="G75" s="26">
        <v>1</v>
      </c>
      <c r="H75" s="2" t="s">
        <v>28</v>
      </c>
      <c r="I75" s="1" t="s">
        <v>156</v>
      </c>
      <c r="J75" s="34" t="s">
        <v>116</v>
      </c>
      <c r="K75" s="34" t="s">
        <v>116</v>
      </c>
    </row>
    <row r="76" spans="1:11" ht="15.6" x14ac:dyDescent="0.3">
      <c r="A76" s="2">
        <f t="shared" si="14"/>
        <v>60</v>
      </c>
      <c r="B76" s="1" t="s">
        <v>57</v>
      </c>
      <c r="C76" s="16"/>
      <c r="D76" s="2">
        <f>D6</f>
        <v>815.23</v>
      </c>
      <c r="E76" s="2">
        <f t="shared" ref="E76:F76" si="15">E6</f>
        <v>498.96</v>
      </c>
      <c r="F76" s="2">
        <f t="shared" si="15"/>
        <v>444.42</v>
      </c>
      <c r="G76" s="26">
        <f>B4</f>
        <v>1695.27</v>
      </c>
      <c r="H76" s="2" t="s">
        <v>65</v>
      </c>
      <c r="I76" s="1"/>
      <c r="J76" s="34" t="s">
        <v>116</v>
      </c>
      <c r="K76" s="34" t="s">
        <v>116</v>
      </c>
    </row>
    <row r="77" spans="1:11" ht="46.8" x14ac:dyDescent="0.3">
      <c r="A77" s="2"/>
      <c r="B77" s="1" t="s">
        <v>157</v>
      </c>
      <c r="C77" s="16" t="s">
        <v>159</v>
      </c>
      <c r="D77" s="2"/>
      <c r="E77" s="2"/>
      <c r="F77" s="2"/>
      <c r="G77" s="26">
        <v>400</v>
      </c>
      <c r="H77" s="2" t="s">
        <v>158</v>
      </c>
      <c r="I77" s="1"/>
      <c r="J77" s="34" t="s">
        <v>116</v>
      </c>
      <c r="K77" s="34" t="s">
        <v>116</v>
      </c>
    </row>
    <row r="78" spans="1:11" ht="62.4" x14ac:dyDescent="0.3">
      <c r="A78" s="2">
        <f>A76+1</f>
        <v>61</v>
      </c>
      <c r="B78" s="15" t="s">
        <v>59</v>
      </c>
      <c r="C78" s="16" t="s">
        <v>160</v>
      </c>
      <c r="D78" s="2">
        <v>1</v>
      </c>
      <c r="E78" s="2">
        <v>1</v>
      </c>
      <c r="F78" s="2">
        <v>1</v>
      </c>
      <c r="G78" s="26">
        <v>1</v>
      </c>
      <c r="H78" s="2" t="s">
        <v>28</v>
      </c>
      <c r="I78" s="1"/>
      <c r="J78" s="34" t="s">
        <v>116</v>
      </c>
      <c r="K78" s="34" t="s">
        <v>116</v>
      </c>
    </row>
    <row r="79" spans="1:11" ht="31.2" x14ac:dyDescent="0.3">
      <c r="A79" s="2">
        <f t="shared" si="14"/>
        <v>62</v>
      </c>
      <c r="B79" s="15" t="s">
        <v>60</v>
      </c>
      <c r="C79" s="16" t="s">
        <v>61</v>
      </c>
      <c r="D79" s="2">
        <v>1</v>
      </c>
      <c r="E79" s="2">
        <v>1</v>
      </c>
      <c r="F79" s="2">
        <v>1</v>
      </c>
      <c r="G79" s="26">
        <v>1</v>
      </c>
      <c r="H79" s="2" t="s">
        <v>28</v>
      </c>
      <c r="I79" s="1"/>
      <c r="J79" s="34" t="s">
        <v>116</v>
      </c>
      <c r="K79" s="34" t="s">
        <v>116</v>
      </c>
    </row>
    <row r="80" spans="1:11" ht="31.2" x14ac:dyDescent="0.3">
      <c r="A80" s="2">
        <f t="shared" si="14"/>
        <v>63</v>
      </c>
      <c r="B80" s="15" t="s">
        <v>62</v>
      </c>
      <c r="C80" s="16" t="s">
        <v>63</v>
      </c>
      <c r="D80" s="2">
        <v>1</v>
      </c>
      <c r="E80" s="2">
        <v>1</v>
      </c>
      <c r="F80" s="2">
        <v>1</v>
      </c>
      <c r="G80" s="26">
        <f t="shared" ref="G80" si="16">F80+E80+D80</f>
        <v>3</v>
      </c>
      <c r="H80" s="5" t="s">
        <v>28</v>
      </c>
      <c r="I80" s="1"/>
      <c r="J80" s="34" t="s">
        <v>116</v>
      </c>
      <c r="K80" s="34" t="s">
        <v>116</v>
      </c>
    </row>
    <row r="81" spans="1:11" ht="15.6" x14ac:dyDescent="0.3">
      <c r="A81" s="2">
        <v>64</v>
      </c>
      <c r="B81" s="15" t="s">
        <v>169</v>
      </c>
      <c r="C81" s="16" t="s">
        <v>170</v>
      </c>
      <c r="D81" s="2"/>
      <c r="E81" s="2"/>
      <c r="F81" s="2"/>
      <c r="G81" s="26">
        <v>3</v>
      </c>
      <c r="H81" s="5" t="s">
        <v>15</v>
      </c>
      <c r="I81" s="1"/>
      <c r="J81" s="34" t="s">
        <v>116</v>
      </c>
      <c r="K81" s="34" t="s">
        <v>116</v>
      </c>
    </row>
    <row r="82" spans="1:11" ht="15.6" x14ac:dyDescent="0.3">
      <c r="A82" s="2">
        <v>65</v>
      </c>
      <c r="B82" s="15" t="s">
        <v>171</v>
      </c>
      <c r="C82" s="16" t="s">
        <v>172</v>
      </c>
      <c r="D82" s="2"/>
      <c r="E82" s="2"/>
      <c r="F82" s="2"/>
      <c r="G82" s="26">
        <v>1</v>
      </c>
      <c r="H82" s="5" t="s">
        <v>28</v>
      </c>
      <c r="I82" s="1"/>
      <c r="J82" s="34" t="s">
        <v>116</v>
      </c>
      <c r="K82" s="34" t="s">
        <v>116</v>
      </c>
    </row>
    <row r="84" spans="1:11" ht="15.6" x14ac:dyDescent="0.3">
      <c r="A84" s="40" t="s">
        <v>167</v>
      </c>
    </row>
    <row r="85" spans="1:11" ht="15.6" x14ac:dyDescent="0.3">
      <c r="A85" s="41" t="s">
        <v>168</v>
      </c>
      <c r="H85" s="18"/>
    </row>
    <row r="86" spans="1:11" x14ac:dyDescent="0.3">
      <c r="A86" s="3" t="s">
        <v>173</v>
      </c>
      <c r="H86" s="20"/>
      <c r="I86" s="68"/>
    </row>
    <row r="87" spans="1:11" x14ac:dyDescent="0.3">
      <c r="A87" s="3" t="s">
        <v>174</v>
      </c>
      <c r="I87" s="69"/>
    </row>
    <row r="88" spans="1:11" x14ac:dyDescent="0.3">
      <c r="A88" s="3" t="s">
        <v>175</v>
      </c>
    </row>
    <row r="89" spans="1:11" x14ac:dyDescent="0.3">
      <c r="A89" s="3" t="s">
        <v>176</v>
      </c>
    </row>
    <row r="90" spans="1:11" x14ac:dyDescent="0.3">
      <c r="A90" s="3" t="s">
        <v>177</v>
      </c>
    </row>
    <row r="92" spans="1:11" x14ac:dyDescent="0.3">
      <c r="A92" s="31" t="s">
        <v>178</v>
      </c>
    </row>
  </sheetData>
  <autoFilter ref="A7:K82" xr:uid="{00000000-0001-0000-0000-000000000000}"/>
  <pageMargins left="0.11811023622047245" right="0.11811023622047245" top="0.74803149606299213" bottom="0.74803149606299213" header="0.31496062992125984" footer="0.31496062992125984"/>
  <pageSetup paperSize="9" scale="64" fitToHeight="1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SOW</vt:lpstr>
      <vt:lpstr>SOW!Print_Area</vt:lpstr>
      <vt:lpstr>SOW!Print_Titles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EnM JBP</cp:lastModifiedBy>
  <cp:lastPrinted>2025-11-29T08:12:03Z</cp:lastPrinted>
  <dcterms:created xsi:type="dcterms:W3CDTF">2024-09-17T13:25:04Z</dcterms:created>
  <dcterms:modified xsi:type="dcterms:W3CDTF">2026-01-08T13:23:25Z</dcterms:modified>
</cp:coreProperties>
</file>